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EXCEL\"/>
    </mc:Choice>
  </mc:AlternateContent>
  <xr:revisionPtr revIDLastSave="0" documentId="13_ncr:1_{9CBAF695-D4FF-4D4C-B35E-41CBB44C1E90}" xr6:coauthVersionLast="47" xr6:coauthVersionMax="47" xr10:uidLastSave="{00000000-0000-0000-0000-000000000000}"/>
  <bookViews>
    <workbookView xWindow="-96" yWindow="0" windowWidth="11712" windowHeight="13776" xr2:uid="{00000000-000D-0000-FFFF-FFFF00000000}"/>
  </bookViews>
  <sheets>
    <sheet name="Project Instructions" sheetId="1" r:id="rId1"/>
    <sheet name="Dataset" sheetId="2" r:id="rId2"/>
    <sheet name="PIVOT TABLE" sheetId="3" r:id="rId3"/>
    <sheet name="DESHBORD" sheetId="5" r:id="rId4"/>
  </sheets>
  <definedNames>
    <definedName name="Slicer_Months__Order_Date">#N/A</definedName>
    <definedName name="Slicer_Product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4" i="2" l="1"/>
  <c r="R32" i="2" l="1"/>
  <c r="L5" i="2"/>
  <c r="R35"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 r="J3" i="2"/>
  <c r="M24" i="2"/>
  <c r="N31" i="2" l="1"/>
  <c r="N40" i="2"/>
  <c r="N34" i="2"/>
  <c r="N33" i="2"/>
  <c r="N30" i="2"/>
  <c r="N41" i="2"/>
  <c r="N39" i="2"/>
  <c r="N38" i="2"/>
  <c r="N37" i="2"/>
  <c r="N36" i="2"/>
  <c r="N35" i="2"/>
  <c r="N32" i="2"/>
</calcChain>
</file>

<file path=xl/sharedStrings.xml><?xml version="1.0" encoding="utf-8"?>
<sst xmlns="http://schemas.openxmlformats.org/spreadsheetml/2006/main" count="939" uniqueCount="306">
  <si>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</si>
  <si>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</si>
  <si>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</si>
  <si>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</si>
  <si>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</si>
  <si>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</si>
  <si>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</si>
  <si>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</si>
  <si>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</si>
  <si>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</si>
  <si>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</si>
  <si>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</si>
  <si>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</si>
  <si>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</si>
  <si>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</si>
  <si>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</si>
  <si>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</si>
  <si>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CUST005</t>
  </si>
  <si>
    <t>South</t>
  </si>
  <si>
    <t>Electronics</t>
  </si>
  <si>
    <t>CUST030</t>
  </si>
  <si>
    <t>North</t>
  </si>
  <si>
    <t>Furniture</t>
  </si>
  <si>
    <t>CUST009</t>
  </si>
  <si>
    <t>Office Supplies</t>
  </si>
  <si>
    <t>CUST023</t>
  </si>
  <si>
    <t>CUST016</t>
  </si>
  <si>
    <t>CUST002</t>
  </si>
  <si>
    <t>Topics:</t>
  </si>
  <si>
    <t>- Conditional Formatting</t>
  </si>
  <si>
    <t>- WHAT IF Analysis</t>
  </si>
  <si>
    <t>- Linear Regression (Using Data Analysis Toolpak)</t>
  </si>
  <si>
    <t>- Data Analysis Feature (Descriptive Stats, Regression, Histogram)</t>
  </si>
  <si>
    <t>- Data Storytelling</t>
  </si>
  <si>
    <t>- Add Symbols or Arrows in Custom Formatting</t>
  </si>
  <si>
    <t>- Create Timestamp</t>
  </si>
  <si>
    <t>- Find High-Value Customers using Groupby(), index(), and match() combination</t>
  </si>
  <si>
    <t>- Advanced Descriptive Analytics</t>
  </si>
  <si>
    <t>- Pivot Table with Dashboard</t>
  </si>
  <si>
    <t>- Creating bar charts</t>
  </si>
  <si>
    <t>- Creating line charts</t>
  </si>
  <si>
    <t>- Creating pie charts</t>
  </si>
  <si>
    <t>Main Tasks:</t>
  </si>
  <si>
    <t>1. Apply conditional formatting to highlight top 10 customers based on total purchase.</t>
  </si>
  <si>
    <t>2. Perform WHAT IF Analysis to see impact of changing discount on total profit.</t>
  </si>
  <si>
    <t>3. Use Data Analysis Toolpak to run Linear Regression (Profit vs Sales).</t>
  </si>
  <si>
    <t>4. Use 'Descriptive Statistics' from Analysis Toolpak on the dataset.</t>
  </si>
  <si>
    <t>5. Add up/down arrows on monthly sales growth.</t>
  </si>
  <si>
    <t>6. Create a timestamp column using NOW().</t>
  </si>
  <si>
    <t>7. Identify high-value customers using index(), match(), and filters.</t>
  </si>
  <si>
    <t>8. Create Pivot Table to analyze total sales by region and product.</t>
  </si>
  <si>
    <t>9. Create bar, line, and pie charts to visualize KPIs.</t>
  </si>
  <si>
    <t>10. Summarize insights using a dashboard.</t>
  </si>
  <si>
    <t>Deliverable:</t>
  </si>
  <si>
    <t>Complete the given worksheet by applying the required formulas in respective sheets.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</si>
  <si>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</si>
  <si>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</si>
  <si>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</si>
  <si>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</si>
  <si>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</si>
  <si>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</si>
  <si>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</si>
  <si>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</si>
  <si>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</si>
  <si>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</si>
  <si>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</si>
  <si>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</si>
  <si>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</si>
  <si>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</si>
  <si>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</si>
  <si>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</si>
  <si>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</si>
  <si>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</si>
  <si>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</si>
  <si>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</si>
  <si>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</si>
  <si>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</si>
  <si>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</si>
  <si>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</si>
  <si>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</si>
  <si>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 Labels</t>
  </si>
  <si>
    <t>Grand Total</t>
  </si>
  <si>
    <t>Sum of Sales</t>
  </si>
  <si>
    <t>Jan</t>
  </si>
  <si>
    <t>Feb</t>
  </si>
  <si>
    <t>Mar</t>
  </si>
  <si>
    <t>Apr</t>
  </si>
  <si>
    <t>May</t>
  </si>
  <si>
    <t>Jun</t>
  </si>
  <si>
    <t>Jul</t>
  </si>
  <si>
    <t>Aug</t>
  </si>
  <si>
    <t>Sep</t>
  </si>
  <si>
    <t>Oct</t>
  </si>
  <si>
    <t>Nov</t>
  </si>
  <si>
    <t>Dec</t>
  </si>
  <si>
    <t>MONTH</t>
  </si>
  <si>
    <t>SALES</t>
  </si>
  <si>
    <t>MONTHIY SALES</t>
  </si>
  <si>
    <t>HIGE SALES</t>
  </si>
  <si>
    <t>NAME</t>
  </si>
  <si>
    <t>Sum of Profit</t>
  </si>
  <si>
    <t>CUST037</t>
  </si>
  <si>
    <t>CUST044</t>
  </si>
  <si>
    <t>CUST051</t>
  </si>
  <si>
    <t>CUST058</t>
  </si>
  <si>
    <t>CUST065</t>
  </si>
  <si>
    <t>CUST072</t>
  </si>
  <si>
    <t>CUST079</t>
  </si>
  <si>
    <t>CUST086</t>
  </si>
  <si>
    <t>CUST093</t>
  </si>
  <si>
    <t>CUST100</t>
  </si>
  <si>
    <t>CUST107</t>
  </si>
  <si>
    <t>CUST114</t>
  </si>
  <si>
    <t>CUST121</t>
  </si>
  <si>
    <t>CUST128</t>
  </si>
  <si>
    <t>CUST135</t>
  </si>
  <si>
    <t>CUST142</t>
  </si>
  <si>
    <t>CUST149</t>
  </si>
  <si>
    <t>CUST156</t>
  </si>
  <si>
    <t>CUST163</t>
  </si>
  <si>
    <t>CUST170</t>
  </si>
  <si>
    <t>CUST177</t>
  </si>
  <si>
    <t>CUST184</t>
  </si>
  <si>
    <t>CUST191</t>
  </si>
  <si>
    <t>CUST198</t>
  </si>
  <si>
    <t>CUST205</t>
  </si>
  <si>
    <t>CUST212</t>
  </si>
  <si>
    <t>CUST219</t>
  </si>
  <si>
    <t>CUST226</t>
  </si>
  <si>
    <t>CUST233</t>
  </si>
  <si>
    <t>CUST240</t>
  </si>
  <si>
    <t>CUST247</t>
  </si>
  <si>
    <t>CUST254</t>
  </si>
  <si>
    <t>CUST261</t>
  </si>
  <si>
    <t>CUST268</t>
  </si>
  <si>
    <t>CUST275</t>
  </si>
  <si>
    <t>CUST282</t>
  </si>
  <si>
    <t>CUST289</t>
  </si>
  <si>
    <t>CUST296</t>
  </si>
  <si>
    <t>CUST303</t>
  </si>
  <si>
    <t>CUST310</t>
  </si>
  <si>
    <t>CUST317</t>
  </si>
  <si>
    <t>CUST324</t>
  </si>
  <si>
    <t>CUST331</t>
  </si>
  <si>
    <t>CUST338</t>
  </si>
  <si>
    <t>CUST345</t>
  </si>
  <si>
    <t>CUST352</t>
  </si>
  <si>
    <t>CUST359</t>
  </si>
  <si>
    <t>CUST366</t>
  </si>
  <si>
    <t>CUST373</t>
  </si>
  <si>
    <t>CUST380</t>
  </si>
  <si>
    <t>CUST387</t>
  </si>
  <si>
    <t>CUST394</t>
  </si>
  <si>
    <t>CUST401</t>
  </si>
  <si>
    <t>CUST408</t>
  </si>
  <si>
    <t>CUST415</t>
  </si>
  <si>
    <t>CUST422</t>
  </si>
  <si>
    <t>CUST429</t>
  </si>
  <si>
    <t>CUST436</t>
  </si>
  <si>
    <t>CUST443</t>
  </si>
  <si>
    <t>CUST450</t>
  </si>
  <si>
    <t>CUST457</t>
  </si>
  <si>
    <t>CUST464</t>
  </si>
  <si>
    <t>CUST471</t>
  </si>
  <si>
    <t>CUST478</t>
  </si>
  <si>
    <t>CUST485</t>
  </si>
  <si>
    <t>CUST492</t>
  </si>
  <si>
    <t>CUST499</t>
  </si>
  <si>
    <t>CUST506</t>
  </si>
  <si>
    <t>CUST513</t>
  </si>
  <si>
    <t>CUST520</t>
  </si>
  <si>
    <t>CUST527</t>
  </si>
  <si>
    <t>CUST534</t>
  </si>
  <si>
    <t>CUST541</t>
  </si>
  <si>
    <t>CUST548</t>
  </si>
  <si>
    <t>CUST555</t>
  </si>
  <si>
    <t>CUST562</t>
  </si>
  <si>
    <t>CUST569</t>
  </si>
  <si>
    <t>CUST576</t>
  </si>
  <si>
    <t>CUST583</t>
  </si>
  <si>
    <t>CUST590</t>
  </si>
  <si>
    <t>CUST597</t>
  </si>
  <si>
    <t>CUST604</t>
  </si>
  <si>
    <t>CUST611</t>
  </si>
  <si>
    <t>CUST618</t>
  </si>
  <si>
    <t>CUST625</t>
  </si>
  <si>
    <t>CUST632</t>
  </si>
  <si>
    <t>CUST639</t>
  </si>
  <si>
    <t>CUST646</t>
  </si>
  <si>
    <t>CUST653</t>
  </si>
  <si>
    <t>CUST660</t>
  </si>
  <si>
    <t>CUST667</t>
  </si>
  <si>
    <t>CUST674</t>
  </si>
  <si>
    <t>CUST681</t>
  </si>
  <si>
    <t>CUST688</t>
  </si>
  <si>
    <t>CUST695</t>
  </si>
  <si>
    <t>CUST702</t>
  </si>
  <si>
    <t>CUST709</t>
  </si>
  <si>
    <t>CUST716</t>
  </si>
  <si>
    <t>CUST723</t>
  </si>
  <si>
    <t>CUST730</t>
  </si>
  <si>
    <t>CUST737</t>
  </si>
  <si>
    <t>CUST744</t>
  </si>
  <si>
    <t>CUST751</t>
  </si>
  <si>
    <t>CUST758</t>
  </si>
  <si>
    <t>CUST765</t>
  </si>
  <si>
    <t>CUST772</t>
  </si>
  <si>
    <t>CUST779</t>
  </si>
  <si>
    <t>CUST786</t>
  </si>
  <si>
    <t>CUST793</t>
  </si>
  <si>
    <t>CUST800</t>
  </si>
  <si>
    <t>CUST807</t>
  </si>
  <si>
    <t>CUST814</t>
  </si>
  <si>
    <t>CUST821</t>
  </si>
  <si>
    <t>CUST828</t>
  </si>
  <si>
    <t>CUST835</t>
  </si>
  <si>
    <t>CUST842</t>
  </si>
  <si>
    <t>CUST849</t>
  </si>
  <si>
    <t>CUST856</t>
  </si>
  <si>
    <t>CUST863</t>
  </si>
  <si>
    <t>CUST870</t>
  </si>
  <si>
    <t>CUST877</t>
  </si>
  <si>
    <t>CUST884</t>
  </si>
  <si>
    <t>CUST891</t>
  </si>
  <si>
    <t>CUST898</t>
  </si>
  <si>
    <t>CUST905</t>
  </si>
  <si>
    <t>CUST912</t>
  </si>
  <si>
    <t>CUST919</t>
  </si>
  <si>
    <t>CUST926</t>
  </si>
  <si>
    <t>CUST933</t>
  </si>
  <si>
    <t>CUST940</t>
  </si>
  <si>
    <t>CUST947</t>
  </si>
  <si>
    <t>CUST954</t>
  </si>
  <si>
    <t>CUST961</t>
  </si>
  <si>
    <t>CUST968</t>
  </si>
  <si>
    <t>CUST975</t>
  </si>
  <si>
    <t>CUST982</t>
  </si>
  <si>
    <t>CUST989</t>
  </si>
  <si>
    <t>CUST996</t>
  </si>
  <si>
    <t>CUST1003</t>
  </si>
  <si>
    <t>CUST1010</t>
  </si>
  <si>
    <t>CUST1017</t>
  </si>
  <si>
    <t>CUST1024</t>
  </si>
  <si>
    <t>CUST1031</t>
  </si>
  <si>
    <t>CUST1038</t>
  </si>
  <si>
    <t>CUST1045</t>
  </si>
  <si>
    <t>CUST1052</t>
  </si>
  <si>
    <t>CUST1059</t>
  </si>
  <si>
    <t>CUST1066</t>
  </si>
  <si>
    <t>CUST1073</t>
  </si>
  <si>
    <t>CUST1080</t>
  </si>
  <si>
    <t>CUST1087</t>
  </si>
  <si>
    <t>CUST1094</t>
  </si>
  <si>
    <t>CUST1101</t>
  </si>
  <si>
    <t>CUST1108</t>
  </si>
  <si>
    <t>CUST1115</t>
  </si>
  <si>
    <t>CUST1122</t>
  </si>
  <si>
    <t>CUST1129</t>
  </si>
  <si>
    <t>CUST1136</t>
  </si>
  <si>
    <t>CUST1143</t>
  </si>
  <si>
    <t>CUST1150</t>
  </si>
  <si>
    <t>CUST1157</t>
  </si>
  <si>
    <t>CUST1164</t>
  </si>
  <si>
    <t>CUST1171</t>
  </si>
  <si>
    <t>CUST1178</t>
  </si>
  <si>
    <t>CUST1185</t>
  </si>
  <si>
    <t>CUST1192</t>
  </si>
  <si>
    <t>CUST1199</t>
  </si>
  <si>
    <t>CUST1206</t>
  </si>
  <si>
    <t>CUST1213</t>
  </si>
  <si>
    <t>CUST1220</t>
  </si>
  <si>
    <t>CUST1227</t>
  </si>
  <si>
    <t>CUST1234</t>
  </si>
  <si>
    <t>CUST1241</t>
  </si>
  <si>
    <t>CUST1248</t>
  </si>
  <si>
    <t>CUST1255</t>
  </si>
  <si>
    <t>CUST1262</t>
  </si>
  <si>
    <t>CUST1269</t>
  </si>
  <si>
    <t>CUST1276</t>
  </si>
  <si>
    <t>CUST1283</t>
  </si>
  <si>
    <t>CUST1290</t>
  </si>
  <si>
    <t>CUST1297</t>
  </si>
  <si>
    <t>CUST1304</t>
  </si>
  <si>
    <t>CUST1311</t>
  </si>
  <si>
    <t>CUST1318</t>
  </si>
  <si>
    <t>CUST1325</t>
  </si>
  <si>
    <t>CUST1332</t>
  </si>
  <si>
    <t>CUST1339</t>
  </si>
  <si>
    <t>CUST1346</t>
  </si>
  <si>
    <t>CUST1353</t>
  </si>
  <si>
    <t>CUST1360</t>
  </si>
  <si>
    <t>CUST1367</t>
  </si>
  <si>
    <t>CUST1374</t>
  </si>
  <si>
    <t>WHAT IF</t>
  </si>
  <si>
    <t>PRODUCT</t>
  </si>
  <si>
    <t>QUANTITY</t>
  </si>
  <si>
    <t>PRICE</t>
  </si>
  <si>
    <t>TOTAL AMOUNT</t>
  </si>
  <si>
    <t>DISCOUNT</t>
  </si>
  <si>
    <t>DISCOUNT A.</t>
  </si>
  <si>
    <t>FINAL AMOUNT</t>
  </si>
  <si>
    <t>CLITHING</t>
  </si>
  <si>
    <t>East</t>
  </si>
  <si>
    <t>Central</t>
  </si>
  <si>
    <t>NOW</t>
  </si>
  <si>
    <t>Linear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</si>
</sst>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15" x14ac:knownFonts="1">
    <font>
      <sz val="11"/>
      <color theme="1"/>
      <name val="Calibri"/>
      <scheme val="minor"/>
    </font>
    <font>
      <sz val="11"/>
      <color theme="1"/>
      <name val="Calibri"/>
      <family val="2"/>
      <scheme val="minor"/>
    </font>
    <font>
      <sz val="11"/>
      <color theme="1"/>
      <name val="Calibri"/>
    </font>
    <font>
      <b/>
      <sz val="11"/>
      <color theme="1"/>
      <name val="Calibri"/>
      <scheme val="minor"/>
    </font>
    <font>
      <b/>
      <sz val="11"/>
      <color theme="1"/>
      <name val="Calibri"/>
      <family val="2"/>
      <scheme val="minor"/>
    </font>
    <font>
      <b/>
      <sz val="11"/>
      <color rgb="FF38761D"/>
      <name val="Calibri"/>
      <family val="2"/>
      <scheme val="minor"/>
    </font>
    <font>
      <sz val="11"/>
      <color rgb="FF38761D"/>
      <name val="Calibri"/>
      <family val="2"/>
      <scheme val="minor"/>
    </font>
    <font>
      <sz val="8"/>
      <name val="Calibri"/>
      <family val="2"/>
      <scheme val="minor"/>
    </font>
    <font>
      <b/>
      <sz val="11"/>
      <color theme="1"/>
      <name val="Arial Narrow"/>
      <family val="2"/>
    </font>
    <font>
      <b/>
      <i/>
      <sz val="11"/>
      <color theme="1"/>
      <name val="Arial Narrow"/>
      <family val="2"/>
    </font>
    <font>
      <b/>
      <sz val="11"/>
      <color rgb="FFFFFFFF"/>
      <name val="Arial Narrow"/>
      <family val="2"/>
    </font>
    <font>
      <b/>
      <sz val="11"/>
      <color theme="0"/>
      <name val="Calibri"/>
      <family val="2"/>
      <scheme val="minor"/>
    </font>
    <font>
      <b/>
      <sz val="11"/>
      <color theme="0"/>
      <name val="Arial Narrow"/>
      <family val="2"/>
    </font>
    <font>
      <b/>
      <i/>
      <sz val="11"/>
      <color theme="0"/>
      <name val="Arial Narrow"/>
      <family val="2"/>
    </font>
    <font>
      <b/>
      <sz val="12"/>
      <color theme="0"/>
      <name val="Calibri"/>
      <family val="2"/>
      <scheme val="minor"/>
    </font>
  </fonts>
  <fills count="5">
    <fill>
      <patternFill patternType="none"/>
    </fill>
    <fill>
      <patternFill patternType="gray125"/>
    </fill>
    <fill>
      <patternFill patternType="solid">
        <fgColor rgb="FF1E3350"/>
        <bgColor indexed="64"/>
      </patternFill>
    </fill>
    <fill>
      <patternFill patternType="solid">
        <fgColor rgb="FF1A2E4A"/>
        <bgColor indexed="64"/>
      </patternFill>
    </fill>
    <fill>
      <patternFill patternType="solid">
        <fgColor theme="0"/>
        <bgColor indexed="64"/>
      </patternFill>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0" fontId="2"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center"/>
    </xf>
    <xf numFmtId="0" fontId="5" fillId="0" borderId="0" xfId="0" applyFont="1"/>
    <xf numFmtId="0" fontId="6"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0" fillId="2" borderId="0" xfId="0" applyFont="1" applyFill="1"/>
    <xf numFmtId="0" fontId="8" fillId="0" borderId="10" xfId="0" applyFont="1" applyBorder="1" applyAlignment="1">
      <alignment horizontal="center"/>
    </xf>
    <xf numFmtId="164" fontId="8" fillId="0" borderId="10" xfId="0" applyNumberFormat="1" applyFont="1" applyBorder="1" applyAlignment="1">
      <alignment horizontal="center"/>
    </xf>
    <xf numFmtId="0" fontId="4" fillId="0" borderId="10" xfId="0" applyFont="1" applyBorder="1" applyAlignment="1">
      <alignment horizontal="center" vertical="center" wrapText="1"/>
    </xf>
    <xf numFmtId="0" fontId="11" fillId="3" borderId="10" xfId="0" applyFont="1" applyFill="1" applyBorder="1" applyAlignment="1">
      <alignment horizontal="center"/>
    </xf>
    <xf numFmtId="0" fontId="12" fillId="3" borderId="10" xfId="0" applyFont="1" applyFill="1" applyBorder="1"/>
    <xf numFmtId="0" fontId="8" fillId="4" borderId="10" xfId="0" applyFont="1" applyFill="1" applyBorder="1"/>
    <xf numFmtId="0" fontId="4" fillId="0" borderId="10" xfId="0" applyFont="1" applyBorder="1"/>
    <xf numFmtId="9" fontId="4" fillId="0" borderId="10" xfId="0" applyNumberFormat="1" applyFont="1" applyBorder="1"/>
    <xf numFmtId="22" fontId="4" fillId="0" borderId="10" xfId="0" applyNumberFormat="1" applyFont="1" applyBorder="1" applyAlignment="1">
      <alignment horizontal="center"/>
    </xf>
    <xf numFmtId="0" fontId="13" fillId="4" borderId="10" xfId="0" applyFont="1" applyFill="1" applyBorder="1" applyAlignment="1">
      <alignment horizontal="centerContinuous"/>
    </xf>
    <xf numFmtId="0" fontId="9" fillId="4" borderId="10" xfId="0" applyFont="1" applyFill="1" applyBorder="1" applyAlignment="1">
      <alignment horizontal="center"/>
    </xf>
    <xf numFmtId="0" fontId="0" fillId="4" borderId="0" xfId="0" applyFill="1"/>
    <xf numFmtId="0" fontId="8" fillId="0" borderId="14" xfId="0" applyFont="1" applyBorder="1" applyAlignment="1">
      <alignment horizontal="center"/>
    </xf>
    <xf numFmtId="164" fontId="8" fillId="0" borderId="14" xfId="0" applyNumberFormat="1" applyFont="1" applyBorder="1" applyAlignment="1">
      <alignment horizontal="center"/>
    </xf>
    <xf numFmtId="0" fontId="14" fillId="3" borderId="0" xfId="0" applyFont="1" applyFill="1"/>
    <xf numFmtId="2" fontId="4" fillId="0" borderId="10" xfId="0" applyNumberFormat="1" applyFont="1" applyBorder="1"/>
    <xf numFmtId="0" fontId="12" fillId="3" borderId="12" xfId="0" applyFont="1" applyFill="1" applyBorder="1" applyAlignment="1">
      <alignment horizontal="center"/>
    </xf>
    <xf numFmtId="0" fontId="12" fillId="3" borderId="13" xfId="0" applyFont="1" applyFill="1" applyBorder="1" applyAlignment="1">
      <alignment horizontal="center"/>
    </xf>
    <xf numFmtId="0" fontId="12" fillId="3" borderId="11" xfId="0" applyFont="1" applyFill="1" applyBorder="1" applyAlignment="1">
      <alignment horizontal="center"/>
    </xf>
    <xf numFmtId="0" fontId="12" fillId="3" borderId="10" xfId="0" applyFont="1" applyFill="1" applyBorder="1" applyAlignment="1">
      <alignment horizontal="center"/>
    </xf>
    <xf numFmtId="0" fontId="11" fillId="3" borderId="10" xfId="0" applyFont="1" applyFill="1" applyBorder="1" applyAlignment="1">
      <alignment horizontal="center"/>
    </xf>
    <xf numFmtId="9" fontId="0" fillId="0" borderId="0" xfId="0" applyNumberFormat="1"/>
  </cellXfs>
  <cellStyles count="1">
    <cellStyle name="Normal" xfId="0" builtinId="0"/>
  </cellStyles>
  <dxfs count="25">
    <dxf>
      <fill>
        <patternFill>
          <bgColor theme="5" tint="0.79998168889431442"/>
        </patternFill>
      </fill>
    </dxf>
    <dxf>
      <font>
        <b/>
        <i val="0"/>
        <strike val="0"/>
        <condense val="0"/>
        <extend val="0"/>
        <outline val="0"/>
        <shadow val="0"/>
        <u val="none"/>
        <vertAlign val="baseline"/>
        <sz val="11"/>
        <color theme="1"/>
        <name val="Arial Narrow"/>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numFmt numFmtId="164" formatCode="[$-F800]dddd\,\ mmmm\ dd\,\ yyyy"/>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numFmt numFmtId="164" formatCode="[$-F800]dddd\,\ mmmm\ dd\,\ yyyy"/>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Narrow"/>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Arial Narrow"/>
        <family val="2"/>
        <scheme val="none"/>
      </font>
      <fill>
        <patternFill patternType="solid">
          <fgColor indexed="64"/>
          <bgColor rgb="FF1E3350"/>
        </patternFill>
      </fill>
    </dxf>
    <dxf>
      <fill>
        <patternFill>
          <bgColor rgb="FF002060"/>
        </patternFill>
      </fill>
    </dxf>
    <dxf>
      <fill>
        <patternFill>
          <bgColor rgb="FF122134"/>
        </patternFill>
      </fill>
    </dxf>
  </dxfs>
  <tableStyles count="2" defaultTableStyle="TableStyleMedium2" defaultPivotStyle="PivotStyleLight16">
    <tableStyle name="Slicer Style 1" pivot="0" table="0" count="7" xr9:uid="{C3CD9755-5A52-48E1-A8C5-B322101C88B4}">
      <tableStyleElement type="wholeTable" dxfId="24"/>
    </tableStyle>
    <tableStyle name="Slicer Style 3" pivot="0" table="0" count="2" xr9:uid="{BD172A0C-0748-40B7-82B4-DA3CBE08DAA9}">
      <tableStyleElement type="wholeTable" dxfId="23"/>
    </tableStyle>
  </tableStyles>
  <colors>
    <mruColors>
      <color rgb="FF1A2E4A"/>
      <color rgb="FFCAE8E0"/>
      <color rgb="FF14263D"/>
      <color rgb="FF1E3350"/>
      <color rgb="FF50E3C2"/>
      <color rgb="FF4A90E2"/>
      <color rgb="FFFFFFFF"/>
      <color rgb="FF0F1B2B"/>
      <color rgb="FF37816E"/>
      <color rgb="FF000000"/>
    </mruColors>
  </colors>
  <extLst>
    <ext xmlns:x14="http://schemas.microsoft.com/office/spreadsheetml/2009/9/main" uri="{46F421CA-312F-682f-3DD2-61675219B42D}">
      <x14:dxfs count="7">
        <dxf>
          <fill>
            <patternFill>
              <bgColor rgb="FF0070C0"/>
            </patternFill>
          </fill>
        </dxf>
        <dxf>
          <fill>
            <patternFill>
              <bgColor theme="0"/>
            </patternFill>
          </fill>
        </dxf>
        <dxf>
          <fill>
            <patternFill>
              <bgColor theme="0"/>
            </patternFill>
          </fill>
        </dxf>
        <dxf>
          <fill>
            <patternFill>
              <bgColor theme="4" tint="-0.24994659260841701"/>
            </patternFill>
          </fill>
        </dxf>
        <dxf>
          <fill>
            <patternFill>
              <bgColor rgb="FF37619F"/>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SelectedItemWithData" dxfId="2"/>
            <x14:slicerStyleElement type="hoveredSelectedItemWithNo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TABLE!PivotTable1</c:name>
    <c:fmtId val="65"/>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layout>
        <c:manualLayout>
          <c:xMode val="edge"/>
          <c:yMode val="edge"/>
          <c:x val="2.4821525135600209E-2"/>
          <c:y val="6.7760570079723845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619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TABLE'!$E$5</c:f>
              <c:strCache>
                <c:ptCount val="1"/>
                <c:pt idx="0">
                  <c:v>Total</c:v>
                </c:pt>
              </c:strCache>
            </c:strRef>
          </c:tx>
          <c:spPr>
            <a:solidFill>
              <a:srgbClr val="37619F"/>
            </a:solidFill>
            <a:ln>
              <a:noFill/>
            </a:ln>
            <a:effectLst>
              <a:outerShdw blurRad="57150" dist="19050" dir="5400000" algn="ctr" rotWithShape="0">
                <a:srgbClr val="000000">
                  <a:alpha val="63000"/>
                </a:srgbClr>
              </a:outerShdw>
            </a:effectLst>
          </c:spPr>
          <c:invertIfNegative val="0"/>
          <c:cat>
            <c:strRef>
              <c:f>'PIVOT TABLE'!$D$6:$D$11</c:f>
              <c:strCache>
                <c:ptCount val="5"/>
                <c:pt idx="0">
                  <c:v>Central</c:v>
                </c:pt>
                <c:pt idx="1">
                  <c:v>East</c:v>
                </c:pt>
                <c:pt idx="2">
                  <c:v>North</c:v>
                </c:pt>
                <c:pt idx="3">
                  <c:v>South</c:v>
                </c:pt>
                <c:pt idx="4">
                  <c:v>West</c:v>
                </c:pt>
              </c:strCache>
            </c:strRef>
          </c:cat>
          <c:val>
            <c:numRef>
              <c:f>'PIVOT TABLE'!$E$6:$E$11</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1BD3-408A-AF70-2FA33A64D52A}"/>
            </c:ext>
          </c:extLst>
        </c:ser>
        <c:dLbls>
          <c:showLegendKey val="0"/>
          <c:showVal val="0"/>
          <c:showCatName val="0"/>
          <c:showSerName val="0"/>
          <c:showPercent val="0"/>
          <c:showBubbleSize val="0"/>
        </c:dLbls>
        <c:gapWidth val="150"/>
        <c:overlap val="100"/>
        <c:axId val="2034716320"/>
        <c:axId val="2034715840"/>
      </c:barChart>
      <c:catAx>
        <c:axId val="2034716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715840"/>
        <c:crosses val="autoZero"/>
        <c:auto val="1"/>
        <c:lblAlgn val="ctr"/>
        <c:lblOffset val="100"/>
        <c:noMultiLvlLbl val="0"/>
      </c:catAx>
      <c:valAx>
        <c:axId val="2034715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716320"/>
        <c:crosses val="autoZero"/>
        <c:crossBetween val="between"/>
      </c:valAx>
      <c:spPr>
        <a:noFill/>
        <a:ln>
          <a:noFill/>
        </a:ln>
        <a:effectLst>
          <a:outerShdw blurRad="50800" dist="38100" dir="5400000" algn="t"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2134"/>
    </a:soli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TABLE!PivotTable2</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Mounth</a:t>
            </a:r>
            <a:r>
              <a:rPr lang="en-US" baseline="0"/>
              <a:t> sales Trend</a:t>
            </a:r>
            <a:endParaRPr lang="en-US"/>
          </a:p>
        </c:rich>
      </c:tx>
      <c:layout>
        <c:manualLayout>
          <c:xMode val="edge"/>
          <c:yMode val="edge"/>
          <c:x val="2.5773186269210841E-2"/>
          <c:y val="5.31703095084249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37619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TABLE'!$E$13</c:f>
              <c:strCache>
                <c:ptCount val="1"/>
                <c:pt idx="0">
                  <c:v>Total</c:v>
                </c:pt>
              </c:strCache>
            </c:strRef>
          </c:tx>
          <c:spPr>
            <a:ln w="34925" cap="rnd">
              <a:solidFill>
                <a:srgbClr val="37619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TABLE'!$E$14:$E$26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87D2-46C5-9349-E696040FE366}"/>
            </c:ext>
          </c:extLst>
        </c:ser>
        <c:dLbls>
          <c:showLegendKey val="0"/>
          <c:showVal val="0"/>
          <c:showCatName val="0"/>
          <c:showSerName val="0"/>
          <c:showPercent val="0"/>
          <c:showBubbleSize val="0"/>
        </c:dLbls>
        <c:marker val="1"/>
        <c:smooth val="0"/>
        <c:axId val="464537280"/>
        <c:axId val="464537760"/>
      </c:lineChart>
      <c:catAx>
        <c:axId val="4645372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537760"/>
        <c:crosses val="autoZero"/>
        <c:auto val="1"/>
        <c:lblAlgn val="ctr"/>
        <c:lblOffset val="100"/>
        <c:noMultiLvlLbl val="0"/>
      </c:catAx>
      <c:valAx>
        <c:axId val="46453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537280"/>
        <c:crosses val="autoZero"/>
        <c:crossBetween val="between"/>
      </c:valAx>
      <c:spPr>
        <a:noFill/>
        <a:ln>
          <a:noFill/>
        </a:ln>
        <a:effectLst>
          <a:outerShdw blurRad="50800" dist="38100" dir="5400000" algn="t"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2134"/>
    </a:soli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TABLE!PivotTable4</c:name>
    <c:fmtId val="3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7619F"/>
          </a:solidFill>
          <a:ln>
            <a:solidFill>
              <a:srgbClr val="37619F"/>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rgbClr val="37816E"/>
            </a:solidFill>
            <a:round/>
          </a:ln>
          <a:effectLst>
            <a:outerShdw blurRad="57150" dist="19050" dir="5400000" algn="ctr" rotWithShape="0">
              <a:srgbClr val="000000">
                <a:alpha val="63000"/>
              </a:srgbClr>
            </a:outerShdw>
          </a:effectLst>
        </c:spPr>
        <c:marker>
          <c:symbol val="circle"/>
          <c:size val="6"/>
          <c:spPr>
            <a:solidFill>
              <a:srgbClr val="37816E"/>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TABLE'!$Q$10</c:f>
              <c:strCache>
                <c:ptCount val="1"/>
                <c:pt idx="0">
                  <c:v>Sum of Profit</c:v>
                </c:pt>
              </c:strCache>
            </c:strRef>
          </c:tx>
          <c:spPr>
            <a:solidFill>
              <a:srgbClr val="37619F"/>
            </a:solidFill>
            <a:ln>
              <a:solidFill>
                <a:srgbClr val="37619F"/>
              </a:solidFill>
            </a:ln>
            <a:effectLst>
              <a:outerShdw blurRad="57150" dist="19050" dir="5400000" algn="ctr" rotWithShape="0">
                <a:srgbClr val="000000">
                  <a:alpha val="63000"/>
                </a:srgbClr>
              </a:outerShdw>
            </a:effectLst>
          </c:spPr>
          <c:invertIfNegative val="0"/>
          <c:cat>
            <c:strRef>
              <c:f>'PIVOT TABLE'!$P$11:$P$23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TABLE'!$Q$11:$Q$23</c:f>
              <c:numCache>
                <c:formatCode>General</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extLst>
            <c:ext xmlns:c16="http://schemas.microsoft.com/office/drawing/2014/chart" uri="{C3380CC4-5D6E-409C-BE32-E72D297353CC}">
              <c16:uniqueId val="{00000003-1211-43E3-8FCB-049E7F422C5E}"/>
            </c:ext>
          </c:extLst>
        </c:ser>
        <c:dLbls>
          <c:showLegendKey val="0"/>
          <c:showVal val="0"/>
          <c:showCatName val="0"/>
          <c:showSerName val="0"/>
          <c:showPercent val="0"/>
          <c:showBubbleSize val="0"/>
        </c:dLbls>
        <c:gapWidth val="150"/>
        <c:axId val="617272800"/>
        <c:axId val="617273280"/>
      </c:barChart>
      <c:lineChart>
        <c:grouping val="standard"/>
        <c:varyColors val="0"/>
        <c:ser>
          <c:idx val="1"/>
          <c:order val="1"/>
          <c:tx>
            <c:strRef>
              <c:f>'PIVOT TABLE'!$R$10</c:f>
              <c:strCache>
                <c:ptCount val="1"/>
                <c:pt idx="0">
                  <c:v>Sum of Sales</c:v>
                </c:pt>
              </c:strCache>
            </c:strRef>
          </c:tx>
          <c:spPr>
            <a:ln w="34925" cap="rnd">
              <a:solidFill>
                <a:srgbClr val="37816E"/>
              </a:solidFill>
              <a:round/>
            </a:ln>
            <a:effectLst>
              <a:outerShdw blurRad="57150" dist="19050" dir="5400000" algn="ctr" rotWithShape="0">
                <a:srgbClr val="000000">
                  <a:alpha val="63000"/>
                </a:srgbClr>
              </a:outerShdw>
            </a:effectLst>
          </c:spPr>
          <c:marker>
            <c:symbol val="circle"/>
            <c:size val="6"/>
            <c:spPr>
              <a:solidFill>
                <a:srgbClr val="37816E"/>
              </a:solidFill>
              <a:ln w="9525">
                <a:solidFill>
                  <a:schemeClr val="accent2"/>
                </a:solidFill>
                <a:round/>
              </a:ln>
              <a:effectLst>
                <a:outerShdw blurRad="57150" dist="19050" dir="5400000" algn="ctr" rotWithShape="0">
                  <a:srgbClr val="000000">
                    <a:alpha val="63000"/>
                  </a:srgbClr>
                </a:outerShdw>
              </a:effectLst>
            </c:spPr>
          </c:marker>
          <c:cat>
            <c:strRef>
              <c:f>'PIVOT TABLE'!$P$11:$P$23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TABLE'!$R$11:$R$23</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5-1211-43E3-8FCB-049E7F422C5E}"/>
            </c:ext>
          </c:extLst>
        </c:ser>
        <c:dLbls>
          <c:showLegendKey val="0"/>
          <c:showVal val="0"/>
          <c:showCatName val="0"/>
          <c:showSerName val="0"/>
          <c:showPercent val="0"/>
          <c:showBubbleSize val="0"/>
        </c:dLbls>
        <c:marker val="1"/>
        <c:smooth val="0"/>
        <c:axId val="544484896"/>
        <c:axId val="544483456"/>
      </c:lineChart>
      <c:catAx>
        <c:axId val="617272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273280"/>
        <c:crosses val="autoZero"/>
        <c:auto val="1"/>
        <c:lblAlgn val="ctr"/>
        <c:lblOffset val="100"/>
        <c:noMultiLvlLbl val="0"/>
      </c:catAx>
      <c:valAx>
        <c:axId val="617273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272800"/>
        <c:crosses val="autoZero"/>
        <c:crossBetween val="between"/>
      </c:valAx>
      <c:valAx>
        <c:axId val="544483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4484896"/>
        <c:crosses val="max"/>
        <c:crossBetween val="between"/>
      </c:valAx>
      <c:catAx>
        <c:axId val="544484896"/>
        <c:scaling>
          <c:orientation val="minMax"/>
        </c:scaling>
        <c:delete val="1"/>
        <c:axPos val="b"/>
        <c:numFmt formatCode="General" sourceLinked="1"/>
        <c:majorTickMark val="out"/>
        <c:minorTickMark val="none"/>
        <c:tickLblPos val="nextTo"/>
        <c:crossAx val="544483456"/>
        <c:crosses val="autoZero"/>
        <c:auto val="1"/>
        <c:lblAlgn val="ctr"/>
        <c:lblOffset val="100"/>
        <c:noMultiLvlLbl val="0"/>
      </c:catAx>
      <c:spPr>
        <a:solidFill>
          <a:srgbClr val="122134"/>
        </a:solidFill>
        <a:ln>
          <a:noFill/>
        </a:ln>
        <a:effectLst>
          <a:outerShdw blurRad="50800" dist="38100" dir="5400000" algn="t"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rgbClr val="122134"/>
    </a:solid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Category</a:t>
            </a:r>
          </a:p>
        </c:rich>
      </c:tx>
      <c:layout>
        <c:manualLayout>
          <c:xMode val="edge"/>
          <c:yMode val="edge"/>
          <c:x val="3.8982602114709185E-2"/>
          <c:y val="5.59932083128604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7619F"/>
          </a:solidFill>
          <a:ln>
            <a:noFill/>
          </a:ln>
          <a:effectLst>
            <a:outerShdw blurRad="50800" dist="38100" dir="5400000" algn="t" rotWithShape="0">
              <a:prstClr val="black">
                <a:alpha val="40000"/>
              </a:prstClr>
            </a:outerShdw>
          </a:effectLst>
        </c:spPr>
      </c:pivotFmt>
      <c:pivotFmt>
        <c:idx val="4"/>
        <c:spPr>
          <a:solidFill>
            <a:srgbClr val="37619F"/>
          </a:solidFill>
          <a:ln>
            <a:noFill/>
          </a:ln>
          <a:effectLst>
            <a:outerShdw blurRad="50800" dist="38100" dir="5400000" algn="t" rotWithShape="0">
              <a:prstClr val="black">
                <a:alpha val="40000"/>
              </a:prstClr>
            </a:outerShdw>
          </a:effectLst>
        </c:spPr>
      </c:pivotFmt>
      <c:pivotFmt>
        <c:idx val="5"/>
        <c:spPr>
          <a:solidFill>
            <a:srgbClr val="37816E"/>
          </a:solidFill>
          <a:ln>
            <a:noFill/>
          </a:ln>
          <a:effectLst>
            <a:outerShdw blurRad="50800" dist="38100" dir="5400000" algn="t" rotWithShape="0">
              <a:prstClr val="black">
                <a:alpha val="40000"/>
              </a:prstClr>
            </a:outerShdw>
          </a:effectLst>
        </c:spPr>
      </c:pivotFmt>
      <c:pivotFmt>
        <c:idx val="6"/>
        <c:spPr>
          <a:solidFill>
            <a:srgbClr val="37816E"/>
          </a:solidFill>
          <a:ln>
            <a:noFill/>
          </a:ln>
          <a:effectLst>
            <a:outerShdw blurRad="50800" dist="38100" dir="5400000" algn="t" rotWithShape="0">
              <a:prstClr val="black">
                <a:alpha val="40000"/>
              </a:prstClr>
            </a:outerShdw>
          </a:effectLst>
        </c:spPr>
      </c:pivotFmt>
      <c:pivotFmt>
        <c:idx val="7"/>
        <c:spPr>
          <a:solidFill>
            <a:srgbClr val="37816E"/>
          </a:solidFill>
          <a:ln>
            <a:noFill/>
          </a:ln>
          <a:effectLst>
            <a:outerShdw blurRad="50800" dist="38100" dir="5400000" algn="t" rotWithShape="0">
              <a:prstClr val="black">
                <a:alpha val="40000"/>
              </a:prstClr>
            </a:outerShdw>
          </a:effectLst>
        </c:spPr>
      </c:pivotFmt>
    </c:pivotFmts>
    <c:plotArea>
      <c:layout/>
      <c:barChart>
        <c:barDir val="bar"/>
        <c:grouping val="clustered"/>
        <c:varyColors val="1"/>
        <c:ser>
          <c:idx val="0"/>
          <c:order val="0"/>
          <c:tx>
            <c:strRef>
              <c:f>'PIVOT TABLE'!$J$19</c:f>
              <c:strCache>
                <c:ptCount val="1"/>
                <c:pt idx="0">
                  <c:v>Total</c:v>
                </c:pt>
              </c:strCache>
            </c:strRef>
          </c:tx>
          <c:spPr>
            <a:effectLst>
              <a:outerShdw blurRad="50800" dist="38100" dir="5400000" algn="t" rotWithShape="0">
                <a:prstClr val="black">
                  <a:alpha val="40000"/>
                </a:prstClr>
              </a:outerShdw>
            </a:effectLst>
          </c:spPr>
          <c:invertIfNegative val="1"/>
          <c:dPt>
            <c:idx val="0"/>
            <c:invertIfNegative val="1"/>
            <c:bubble3D val="0"/>
            <c:spPr>
              <a:solidFill>
                <a:srgbClr val="37816E"/>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6174-4C68-A422-B02801FA9512}"/>
              </c:ext>
            </c:extLst>
          </c:dPt>
          <c:dPt>
            <c:idx val="1"/>
            <c:invertIfNegative val="1"/>
            <c:bubble3D val="0"/>
            <c:spPr>
              <a:solidFill>
                <a:srgbClr val="37816E"/>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4-6174-4C68-A422-B02801FA9512}"/>
              </c:ext>
            </c:extLst>
          </c:dPt>
          <c:dPt>
            <c:idx val="2"/>
            <c:invertIfNegative val="1"/>
            <c:bubble3D val="0"/>
            <c:spPr>
              <a:solidFill>
                <a:srgbClr val="37816E"/>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6174-4C68-A422-B02801FA9512}"/>
              </c:ext>
            </c:extLst>
          </c:dPt>
          <c:dPt>
            <c:idx val="3"/>
            <c:invertIfNegative val="1"/>
            <c:bubble3D val="0"/>
            <c:spPr>
              <a:solidFill>
                <a:srgbClr val="37619F"/>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6174-4C68-A422-B02801FA9512}"/>
              </c:ext>
            </c:extLst>
          </c:dPt>
          <c:dPt>
            <c:idx val="4"/>
            <c:invertIfNegative val="0"/>
            <c:bubble3D val="0"/>
            <c:spPr>
              <a:solidFill>
                <a:srgbClr val="37619F"/>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6174-4C68-A422-B02801FA9512}"/>
              </c:ext>
            </c:extLst>
          </c:dPt>
          <c:cat>
            <c:strRef>
              <c:f>'PIVOT TABLE'!$I$20:$I$25</c:f>
              <c:strCache>
                <c:ptCount val="5"/>
                <c:pt idx="0">
                  <c:v>Books</c:v>
                </c:pt>
                <c:pt idx="1">
                  <c:v>Clothing</c:v>
                </c:pt>
                <c:pt idx="2">
                  <c:v>Electronics</c:v>
                </c:pt>
                <c:pt idx="3">
                  <c:v>Furniture</c:v>
                </c:pt>
                <c:pt idx="4">
                  <c:v>Office Supplies</c:v>
                </c:pt>
              </c:strCache>
            </c:strRef>
          </c:cat>
          <c:val>
            <c:numRef>
              <c:f>'PIVOT TABLE'!$J$20:$J$25</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174-4C68-A422-B02801FA9512}"/>
            </c:ext>
          </c:extLst>
        </c:ser>
        <c:dLbls>
          <c:showLegendKey val="0"/>
          <c:showVal val="0"/>
          <c:showCatName val="0"/>
          <c:showSerName val="0"/>
          <c:showPercent val="0"/>
          <c:showBubbleSize val="0"/>
        </c:dLbls>
        <c:gapWidth val="115"/>
        <c:overlap val="-20"/>
        <c:axId val="597737520"/>
        <c:axId val="597731760"/>
      </c:barChart>
      <c:catAx>
        <c:axId val="597737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731760"/>
        <c:crosses val="autoZero"/>
        <c:auto val="1"/>
        <c:lblAlgn val="ctr"/>
        <c:lblOffset val="100"/>
        <c:noMultiLvlLbl val="0"/>
      </c:catAx>
      <c:valAx>
        <c:axId val="5977317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73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2134"/>
    </a:soli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sv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13199</xdr:rowOff>
    </xdr:from>
    <xdr:to>
      <xdr:col>24</xdr:col>
      <xdr:colOff>31102</xdr:colOff>
      <xdr:row>32</xdr:row>
      <xdr:rowOff>77755</xdr:rowOff>
    </xdr:to>
    <xdr:sp macro="" textlink="">
      <xdr:nvSpPr>
        <xdr:cNvPr id="2" name="Rectangle 1">
          <a:extLst>
            <a:ext uri="{FF2B5EF4-FFF2-40B4-BE49-F238E27FC236}">
              <a16:creationId xmlns:a16="http://schemas.microsoft.com/office/drawing/2014/main" id="{EE0D6869-DCAF-7AE6-BE31-A6A16C56FAE6}"/>
            </a:ext>
          </a:extLst>
        </xdr:cNvPr>
        <xdr:cNvSpPr/>
      </xdr:nvSpPr>
      <xdr:spPr>
        <a:xfrm>
          <a:off x="0" y="13199"/>
          <a:ext cx="14586857" cy="6036148"/>
        </a:xfrm>
        <a:prstGeom prst="rect">
          <a:avLst/>
        </a:prstGeom>
        <a:solidFill>
          <a:srgbClr val="0F1B2B"/>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0F1B2B"/>
              </a:solidFill>
            </a:rPr>
            <a:t>-</a:t>
          </a:r>
        </a:p>
      </xdr:txBody>
    </xdr:sp>
    <xdr:clientData/>
  </xdr:twoCellAnchor>
  <xdr:twoCellAnchor editAs="oneCell">
    <xdr:from>
      <xdr:col>15</xdr:col>
      <xdr:colOff>48936</xdr:colOff>
      <xdr:row>28</xdr:row>
      <xdr:rowOff>125837</xdr:rowOff>
    </xdr:from>
    <xdr:to>
      <xdr:col>17</xdr:col>
      <xdr:colOff>370515</xdr:colOff>
      <xdr:row>31</xdr:row>
      <xdr:rowOff>1992</xdr:rowOff>
    </xdr:to>
    <xdr:pic>
      <xdr:nvPicPr>
        <xdr:cNvPr id="28" name="Picture 27">
          <a:extLst>
            <a:ext uri="{FF2B5EF4-FFF2-40B4-BE49-F238E27FC236}">
              <a16:creationId xmlns:a16="http://schemas.microsoft.com/office/drawing/2014/main" id="{FBF8602C-3CC3-55C5-C7A3-6A47D3A1E05E}"/>
            </a:ext>
          </a:extLst>
        </xdr:cNvPr>
        <xdr:cNvPicPr>
          <a:picLocks noChangeAspect="1"/>
        </xdr:cNvPicPr>
      </xdr:nvPicPr>
      <xdr:blipFill>
        <a:blip xmlns:r="http://schemas.openxmlformats.org/officeDocument/2006/relationships" r:embed="rId1"/>
        <a:stretch>
          <a:fillRect/>
        </a:stretch>
      </xdr:blipFill>
      <xdr:spPr>
        <a:xfrm>
          <a:off x="9171964" y="5215158"/>
          <a:ext cx="1537982" cy="421440"/>
        </a:xfrm>
        <a:prstGeom prst="rect">
          <a:avLst/>
        </a:prstGeom>
      </xdr:spPr>
    </xdr:pic>
    <xdr:clientData/>
  </xdr:twoCellAnchor>
  <xdr:twoCellAnchor>
    <xdr:from>
      <xdr:col>19</xdr:col>
      <xdr:colOff>407896</xdr:colOff>
      <xdr:row>22</xdr:row>
      <xdr:rowOff>114135</xdr:rowOff>
    </xdr:from>
    <xdr:to>
      <xdr:col>22</xdr:col>
      <xdr:colOff>435856</xdr:colOff>
      <xdr:row>30</xdr:row>
      <xdr:rowOff>93162</xdr:rowOff>
    </xdr:to>
    <mc:AlternateContent xmlns:mc="http://schemas.openxmlformats.org/markup-compatibility/2006" xmlns:a14="http://schemas.microsoft.com/office/drawing/2010/main">
      <mc:Choice Requires="a14">
        <xdr:graphicFrame macro="">
          <xdr:nvGraphicFramePr>
            <xdr:cNvPr id="6" name="Months (Order_Date)">
              <a:extLst>
                <a:ext uri="{FF2B5EF4-FFF2-40B4-BE49-F238E27FC236}">
                  <a16:creationId xmlns:a16="http://schemas.microsoft.com/office/drawing/2014/main" id="{07C4A8AD-404C-4421-A1D7-E44D3FF18FD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1931202" y="4219604"/>
              <a:ext cx="1847430" cy="1471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405540</xdr:colOff>
      <xdr:row>8</xdr:row>
      <xdr:rowOff>106812</xdr:rowOff>
    </xdr:from>
    <xdr:to>
      <xdr:col>22</xdr:col>
      <xdr:colOff>349612</xdr:colOff>
      <xdr:row>14</xdr:row>
      <xdr:rowOff>121754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7EA7690-5908-4CF0-945B-05818EFDF6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28846" y="1599710"/>
              <a:ext cx="1763542" cy="1134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23326</xdr:colOff>
      <xdr:row>8</xdr:row>
      <xdr:rowOff>27963</xdr:rowOff>
    </xdr:from>
    <xdr:to>
      <xdr:col>9</xdr:col>
      <xdr:colOff>293613</xdr:colOff>
      <xdr:row>19</xdr:row>
      <xdr:rowOff>48936</xdr:rowOff>
    </xdr:to>
    <xdr:graphicFrame macro="">
      <xdr:nvGraphicFramePr>
        <xdr:cNvPr id="22" name="Chart 21">
          <a:extLst>
            <a:ext uri="{FF2B5EF4-FFF2-40B4-BE49-F238E27FC236}">
              <a16:creationId xmlns:a16="http://schemas.microsoft.com/office/drawing/2014/main" id="{05533A64-E8E9-469A-AA87-7BC097F4F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31103</xdr:colOff>
      <xdr:row>19</xdr:row>
      <xdr:rowOff>174982</xdr:rowOff>
    </xdr:from>
    <xdr:to>
      <xdr:col>9</xdr:col>
      <xdr:colOff>303245</xdr:colOff>
      <xdr:row>31</xdr:row>
      <xdr:rowOff>90879</xdr:rowOff>
    </xdr:to>
    <xdr:graphicFrame macro="">
      <xdr:nvGraphicFramePr>
        <xdr:cNvPr id="23" name="Chart 22">
          <a:extLst>
            <a:ext uri="{FF2B5EF4-FFF2-40B4-BE49-F238E27FC236}">
              <a16:creationId xmlns:a16="http://schemas.microsoft.com/office/drawing/2014/main" id="{996955F9-8CA6-4358-8201-CC45A96C7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365448</xdr:colOff>
      <xdr:row>19</xdr:row>
      <xdr:rowOff>177267</xdr:rowOff>
    </xdr:from>
    <xdr:to>
      <xdr:col>18</xdr:col>
      <xdr:colOff>335701</xdr:colOff>
      <xdr:row>31</xdr:row>
      <xdr:rowOff>81537</xdr:rowOff>
    </xdr:to>
    <xdr:graphicFrame macro="">
      <xdr:nvGraphicFramePr>
        <xdr:cNvPr id="27" name="Chart 26">
          <a:extLst>
            <a:ext uri="{FF2B5EF4-FFF2-40B4-BE49-F238E27FC236}">
              <a16:creationId xmlns:a16="http://schemas.microsoft.com/office/drawing/2014/main" id="{EEBE5053-AEA3-47C0-8E2C-FC1B2981B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365449</xdr:colOff>
      <xdr:row>8</xdr:row>
      <xdr:rowOff>21758</xdr:rowOff>
    </xdr:from>
    <xdr:to>
      <xdr:col>18</xdr:col>
      <xdr:colOff>332636</xdr:colOff>
      <xdr:row>19</xdr:row>
      <xdr:rowOff>63701</xdr:rowOff>
    </xdr:to>
    <xdr:graphicFrame macro="">
      <xdr:nvGraphicFramePr>
        <xdr:cNvPr id="29" name="Chart 28">
          <a:extLst>
            <a:ext uri="{FF2B5EF4-FFF2-40B4-BE49-F238E27FC236}">
              <a16:creationId xmlns:a16="http://schemas.microsoft.com/office/drawing/2014/main" id="{6756D0DE-0BF6-4B33-8C86-ACB49F462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406325</xdr:colOff>
      <xdr:row>15</xdr:row>
      <xdr:rowOff>61304</xdr:rowOff>
    </xdr:from>
    <xdr:to>
      <xdr:col>22</xdr:col>
      <xdr:colOff>410519</xdr:colOff>
      <xdr:row>21</xdr:row>
      <xdr:rowOff>149065</xdr:rowOff>
    </xdr:to>
    <mc:AlternateContent xmlns:mc="http://schemas.openxmlformats.org/markup-compatibility/2006" xmlns:a14="http://schemas.microsoft.com/office/drawing/2010/main">
      <mc:Choice Requires="a14">
        <xdr:graphicFrame macro="">
          <xdr:nvGraphicFramePr>
            <xdr:cNvPr id="30" name="Product_Category">
              <a:extLst>
                <a:ext uri="{FF2B5EF4-FFF2-40B4-BE49-F238E27FC236}">
                  <a16:creationId xmlns:a16="http://schemas.microsoft.com/office/drawing/2014/main" id="{1D2DFDC9-A2BD-474B-9111-7C5C4B9958E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929631" y="2860488"/>
              <a:ext cx="1823664" cy="1207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583163</xdr:colOff>
      <xdr:row>2</xdr:row>
      <xdr:rowOff>55995</xdr:rowOff>
    </xdr:from>
    <xdr:to>
      <xdr:col>22</xdr:col>
      <xdr:colOff>311020</xdr:colOff>
      <xdr:row>7</xdr:row>
      <xdr:rowOff>114942</xdr:rowOff>
    </xdr:to>
    <xdr:sp macro="" textlink="">
      <xdr:nvSpPr>
        <xdr:cNvPr id="14" name="Rectangle: Rounded Corners 13">
          <a:extLst>
            <a:ext uri="{FF2B5EF4-FFF2-40B4-BE49-F238E27FC236}">
              <a16:creationId xmlns:a16="http://schemas.microsoft.com/office/drawing/2014/main" id="{52FFA78C-C5D7-D202-E20F-D8124CAF3D62}"/>
            </a:ext>
          </a:extLst>
        </xdr:cNvPr>
        <xdr:cNvSpPr/>
      </xdr:nvSpPr>
      <xdr:spPr>
        <a:xfrm>
          <a:off x="583163" y="429219"/>
          <a:ext cx="13070633" cy="992009"/>
        </a:xfrm>
        <a:custGeom>
          <a:avLst/>
          <a:gdLst>
            <a:gd name="csX0" fmla="*/ 0 w 9553144"/>
            <a:gd name="csY0" fmla="*/ 159451 h 956685"/>
            <a:gd name="csX1" fmla="*/ 159451 w 9553144"/>
            <a:gd name="csY1" fmla="*/ 0 h 956685"/>
            <a:gd name="csX2" fmla="*/ 9393693 w 9553144"/>
            <a:gd name="csY2" fmla="*/ 0 h 956685"/>
            <a:gd name="csX3" fmla="*/ 9553144 w 9553144"/>
            <a:gd name="csY3" fmla="*/ 159451 h 956685"/>
            <a:gd name="csX4" fmla="*/ 9553144 w 9553144"/>
            <a:gd name="csY4" fmla="*/ 797234 h 956685"/>
            <a:gd name="csX5" fmla="*/ 9393693 w 9553144"/>
            <a:gd name="csY5" fmla="*/ 956685 h 956685"/>
            <a:gd name="csX6" fmla="*/ 159451 w 9553144"/>
            <a:gd name="csY6" fmla="*/ 956685 h 956685"/>
            <a:gd name="csX7" fmla="*/ 0 w 9553144"/>
            <a:gd name="csY7" fmla="*/ 797234 h 956685"/>
            <a:gd name="csX8" fmla="*/ 0 w 9553144"/>
            <a:gd name="csY8" fmla="*/ 159451 h 956685"/>
            <a:gd name="csX0" fmla="*/ 0 w 9553144"/>
            <a:gd name="csY0" fmla="*/ 159451 h 956685"/>
            <a:gd name="csX1" fmla="*/ 98975 w 9553144"/>
            <a:gd name="csY1" fmla="*/ 0 h 956685"/>
            <a:gd name="csX2" fmla="*/ 9393693 w 9553144"/>
            <a:gd name="csY2" fmla="*/ 0 h 956685"/>
            <a:gd name="csX3" fmla="*/ 9553144 w 9553144"/>
            <a:gd name="csY3" fmla="*/ 159451 h 956685"/>
            <a:gd name="csX4" fmla="*/ 9553144 w 9553144"/>
            <a:gd name="csY4" fmla="*/ 797234 h 956685"/>
            <a:gd name="csX5" fmla="*/ 9393693 w 9553144"/>
            <a:gd name="csY5" fmla="*/ 956685 h 956685"/>
            <a:gd name="csX6" fmla="*/ 159451 w 9553144"/>
            <a:gd name="csY6" fmla="*/ 956685 h 956685"/>
            <a:gd name="csX7" fmla="*/ 0 w 9553144"/>
            <a:gd name="csY7" fmla="*/ 797234 h 956685"/>
            <a:gd name="csX8" fmla="*/ 0 w 9553144"/>
            <a:gd name="csY8" fmla="*/ 159451 h 956685"/>
            <a:gd name="csX0" fmla="*/ 0 w 9553144"/>
            <a:gd name="csY0" fmla="*/ 159451 h 965756"/>
            <a:gd name="csX1" fmla="*/ 98975 w 9553144"/>
            <a:gd name="csY1" fmla="*/ 0 h 965756"/>
            <a:gd name="csX2" fmla="*/ 9393693 w 9553144"/>
            <a:gd name="csY2" fmla="*/ 0 h 965756"/>
            <a:gd name="csX3" fmla="*/ 9553144 w 9553144"/>
            <a:gd name="csY3" fmla="*/ 159451 h 965756"/>
            <a:gd name="csX4" fmla="*/ 9553144 w 9553144"/>
            <a:gd name="csY4" fmla="*/ 797234 h 965756"/>
            <a:gd name="csX5" fmla="*/ 9393693 w 9553144"/>
            <a:gd name="csY5" fmla="*/ 956685 h 965756"/>
            <a:gd name="csX6" fmla="*/ 108046 w 9553144"/>
            <a:gd name="csY6" fmla="*/ 965756 h 965756"/>
            <a:gd name="csX7" fmla="*/ 0 w 9553144"/>
            <a:gd name="csY7" fmla="*/ 797234 h 965756"/>
            <a:gd name="csX8" fmla="*/ 0 w 9553144"/>
            <a:gd name="csY8" fmla="*/ 159451 h 965756"/>
            <a:gd name="csX0" fmla="*/ 0 w 9553144"/>
            <a:gd name="csY0" fmla="*/ 159451 h 965756"/>
            <a:gd name="csX1" fmla="*/ 98975 w 9553144"/>
            <a:gd name="csY1" fmla="*/ 0 h 965756"/>
            <a:gd name="csX2" fmla="*/ 9393693 w 9553144"/>
            <a:gd name="csY2" fmla="*/ 0 h 965756"/>
            <a:gd name="csX3" fmla="*/ 9553144 w 9553144"/>
            <a:gd name="csY3" fmla="*/ 159451 h 965756"/>
            <a:gd name="csX4" fmla="*/ 9553144 w 9553144"/>
            <a:gd name="csY4" fmla="*/ 797234 h 965756"/>
            <a:gd name="csX5" fmla="*/ 9448122 w 9553144"/>
            <a:gd name="csY5" fmla="*/ 962733 h 965756"/>
            <a:gd name="csX6" fmla="*/ 108046 w 9553144"/>
            <a:gd name="csY6" fmla="*/ 965756 h 965756"/>
            <a:gd name="csX7" fmla="*/ 0 w 9553144"/>
            <a:gd name="csY7" fmla="*/ 797234 h 965756"/>
            <a:gd name="csX8" fmla="*/ 0 w 9553144"/>
            <a:gd name="csY8" fmla="*/ 159451 h 965756"/>
            <a:gd name="csX0" fmla="*/ 0 w 9553144"/>
            <a:gd name="csY0" fmla="*/ 159451 h 965756"/>
            <a:gd name="csX1" fmla="*/ 98975 w 9553144"/>
            <a:gd name="csY1" fmla="*/ 0 h 965756"/>
            <a:gd name="csX2" fmla="*/ 9460217 w 9553144"/>
            <a:gd name="csY2" fmla="*/ 0 h 965756"/>
            <a:gd name="csX3" fmla="*/ 9553144 w 9553144"/>
            <a:gd name="csY3" fmla="*/ 159451 h 965756"/>
            <a:gd name="csX4" fmla="*/ 9553144 w 9553144"/>
            <a:gd name="csY4" fmla="*/ 797234 h 965756"/>
            <a:gd name="csX5" fmla="*/ 9448122 w 9553144"/>
            <a:gd name="csY5" fmla="*/ 962733 h 965756"/>
            <a:gd name="csX6" fmla="*/ 108046 w 9553144"/>
            <a:gd name="csY6" fmla="*/ 965756 h 965756"/>
            <a:gd name="csX7" fmla="*/ 0 w 9553144"/>
            <a:gd name="csY7" fmla="*/ 797234 h 965756"/>
            <a:gd name="csX8" fmla="*/ 0 w 9553144"/>
            <a:gd name="csY8" fmla="*/ 159451 h 96575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553144" h="965756">
              <a:moveTo>
                <a:pt x="0" y="159451"/>
              </a:moveTo>
              <a:cubicBezTo>
                <a:pt x="0" y="71389"/>
                <a:pt x="10913" y="0"/>
                <a:pt x="98975" y="0"/>
              </a:cubicBezTo>
              <a:lnTo>
                <a:pt x="9460217" y="0"/>
              </a:lnTo>
              <a:cubicBezTo>
                <a:pt x="9548279" y="0"/>
                <a:pt x="9553144" y="71389"/>
                <a:pt x="9553144" y="159451"/>
              </a:cubicBezTo>
              <a:lnTo>
                <a:pt x="9553144" y="797234"/>
              </a:lnTo>
              <a:cubicBezTo>
                <a:pt x="9553144" y="885296"/>
                <a:pt x="9536184" y="962733"/>
                <a:pt x="9448122" y="962733"/>
              </a:cubicBezTo>
              <a:lnTo>
                <a:pt x="108046" y="965756"/>
              </a:lnTo>
              <a:cubicBezTo>
                <a:pt x="19984" y="965756"/>
                <a:pt x="0" y="885296"/>
                <a:pt x="0" y="797234"/>
              </a:cubicBezTo>
              <a:lnTo>
                <a:pt x="0" y="159451"/>
              </a:lnTo>
              <a:close/>
            </a:path>
          </a:pathLst>
        </a:custGeom>
        <a:solidFill>
          <a:srgbClr val="12213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592137</xdr:colOff>
      <xdr:row>2</xdr:row>
      <xdr:rowOff>147984</xdr:rowOff>
    </xdr:from>
    <xdr:to>
      <xdr:col>6</xdr:col>
      <xdr:colOff>132130</xdr:colOff>
      <xdr:row>7</xdr:row>
      <xdr:rowOff>2857</xdr:rowOff>
    </xdr:to>
    <xdr:sp macro="" textlink="">
      <xdr:nvSpPr>
        <xdr:cNvPr id="15" name="Rectangle: Rounded Corners 14">
          <a:extLst>
            <a:ext uri="{FF2B5EF4-FFF2-40B4-BE49-F238E27FC236}">
              <a16:creationId xmlns:a16="http://schemas.microsoft.com/office/drawing/2014/main" id="{6BD4210F-A63C-5252-3F86-3A5DAAF7E415}"/>
            </a:ext>
          </a:extLst>
        </xdr:cNvPr>
        <xdr:cNvSpPr/>
      </xdr:nvSpPr>
      <xdr:spPr>
        <a:xfrm>
          <a:off x="1805117" y="521208"/>
          <a:ext cx="1965952" cy="787935"/>
        </a:xfrm>
        <a:custGeom>
          <a:avLst/>
          <a:gdLst>
            <a:gd name="csX0" fmla="*/ 0 w 1666401"/>
            <a:gd name="csY0" fmla="*/ 128082 h 768475"/>
            <a:gd name="csX1" fmla="*/ 128082 w 1666401"/>
            <a:gd name="csY1" fmla="*/ 0 h 768475"/>
            <a:gd name="csX2" fmla="*/ 1538319 w 1666401"/>
            <a:gd name="csY2" fmla="*/ 0 h 768475"/>
            <a:gd name="csX3" fmla="*/ 1666401 w 1666401"/>
            <a:gd name="csY3" fmla="*/ 128082 h 768475"/>
            <a:gd name="csX4" fmla="*/ 1666401 w 1666401"/>
            <a:gd name="csY4" fmla="*/ 640393 h 768475"/>
            <a:gd name="csX5" fmla="*/ 1538319 w 1666401"/>
            <a:gd name="csY5" fmla="*/ 768475 h 768475"/>
            <a:gd name="csX6" fmla="*/ 128082 w 1666401"/>
            <a:gd name="csY6" fmla="*/ 768475 h 768475"/>
            <a:gd name="csX7" fmla="*/ 0 w 1666401"/>
            <a:gd name="csY7" fmla="*/ 640393 h 768475"/>
            <a:gd name="csX8" fmla="*/ 0 w 1666401"/>
            <a:gd name="csY8" fmla="*/ 128082 h 768475"/>
            <a:gd name="csX0" fmla="*/ 0 w 1672433"/>
            <a:gd name="csY0" fmla="*/ 129885 h 770278"/>
            <a:gd name="csX1" fmla="*/ 128082 w 1672433"/>
            <a:gd name="csY1" fmla="*/ 1803 h 770278"/>
            <a:gd name="csX2" fmla="*/ 1538319 w 1672433"/>
            <a:gd name="csY2" fmla="*/ 1803 h 770278"/>
            <a:gd name="csX3" fmla="*/ 1672433 w 1672433"/>
            <a:gd name="csY3" fmla="*/ 55494 h 770278"/>
            <a:gd name="csX4" fmla="*/ 1666401 w 1672433"/>
            <a:gd name="csY4" fmla="*/ 642196 h 770278"/>
            <a:gd name="csX5" fmla="*/ 1538319 w 1672433"/>
            <a:gd name="csY5" fmla="*/ 770278 h 770278"/>
            <a:gd name="csX6" fmla="*/ 128082 w 1672433"/>
            <a:gd name="csY6" fmla="*/ 770278 h 770278"/>
            <a:gd name="csX7" fmla="*/ 0 w 1672433"/>
            <a:gd name="csY7" fmla="*/ 642196 h 770278"/>
            <a:gd name="csX8" fmla="*/ 0 w 1672433"/>
            <a:gd name="csY8" fmla="*/ 129885 h 770278"/>
            <a:gd name="csX0" fmla="*/ 0 w 1676454"/>
            <a:gd name="csY0" fmla="*/ 129885 h 770278"/>
            <a:gd name="csX1" fmla="*/ 128082 w 1676454"/>
            <a:gd name="csY1" fmla="*/ 1803 h 770278"/>
            <a:gd name="csX2" fmla="*/ 1538319 w 1676454"/>
            <a:gd name="csY2" fmla="*/ 1803 h 770278"/>
            <a:gd name="csX3" fmla="*/ 1672433 w 1676454"/>
            <a:gd name="csY3" fmla="*/ 55494 h 770278"/>
            <a:gd name="csX4" fmla="*/ 1676454 w 1676454"/>
            <a:gd name="csY4" fmla="*/ 686428 h 770278"/>
            <a:gd name="csX5" fmla="*/ 1538319 w 1676454"/>
            <a:gd name="csY5" fmla="*/ 770278 h 770278"/>
            <a:gd name="csX6" fmla="*/ 128082 w 1676454"/>
            <a:gd name="csY6" fmla="*/ 770278 h 770278"/>
            <a:gd name="csX7" fmla="*/ 0 w 1676454"/>
            <a:gd name="csY7" fmla="*/ 642196 h 770278"/>
            <a:gd name="csX8" fmla="*/ 0 w 1676454"/>
            <a:gd name="csY8" fmla="*/ 129885 h 770278"/>
            <a:gd name="csX0" fmla="*/ 0 w 1676454"/>
            <a:gd name="csY0" fmla="*/ 128082 h 768475"/>
            <a:gd name="csX1" fmla="*/ 128082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81839 w 1676454"/>
            <a:gd name="csY6" fmla="*/ 766464 h 768475"/>
            <a:gd name="csX7" fmla="*/ 0 w 1676454"/>
            <a:gd name="csY7" fmla="*/ 640393 h 768475"/>
            <a:gd name="csX8" fmla="*/ 0 w 1676454"/>
            <a:gd name="csY8" fmla="*/ 128082 h 7684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76454" h="768475">
              <a:moveTo>
                <a:pt x="0" y="128082"/>
              </a:moveTo>
              <a:cubicBezTo>
                <a:pt x="0" y="57344"/>
                <a:pt x="7080" y="0"/>
                <a:pt x="77818" y="0"/>
              </a:cubicBezTo>
              <a:lnTo>
                <a:pt x="1538319" y="0"/>
              </a:lnTo>
              <a:cubicBezTo>
                <a:pt x="1609057" y="0"/>
                <a:pt x="1672433" y="3058"/>
                <a:pt x="1672433" y="73796"/>
              </a:cubicBezTo>
              <a:cubicBezTo>
                <a:pt x="1672433" y="244566"/>
                <a:pt x="1676454" y="513855"/>
                <a:pt x="1676454" y="684625"/>
              </a:cubicBezTo>
              <a:cubicBezTo>
                <a:pt x="1676454" y="755363"/>
                <a:pt x="1609057" y="768475"/>
                <a:pt x="1538319" y="768475"/>
              </a:cubicBezTo>
              <a:lnTo>
                <a:pt x="81839" y="766464"/>
              </a:lnTo>
              <a:cubicBezTo>
                <a:pt x="11101" y="766464"/>
                <a:pt x="0" y="711131"/>
                <a:pt x="0" y="640393"/>
              </a:cubicBezTo>
              <a:lnTo>
                <a:pt x="0" y="128082"/>
              </a:lnTo>
              <a:close/>
            </a:path>
          </a:pathLst>
        </a:custGeom>
        <a:solidFill>
          <a:srgbClr val="37619F"/>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33585</xdr:colOff>
      <xdr:row>2</xdr:row>
      <xdr:rowOff>147984</xdr:rowOff>
    </xdr:from>
    <xdr:to>
      <xdr:col>10</xdr:col>
      <xdr:colOff>181780</xdr:colOff>
      <xdr:row>7</xdr:row>
      <xdr:rowOff>2857</xdr:rowOff>
    </xdr:to>
    <xdr:sp macro="" textlink="">
      <xdr:nvSpPr>
        <xdr:cNvPr id="19" name="Rectangle: Rounded Corners 14">
          <a:extLst>
            <a:ext uri="{FF2B5EF4-FFF2-40B4-BE49-F238E27FC236}">
              <a16:creationId xmlns:a16="http://schemas.microsoft.com/office/drawing/2014/main" id="{BEFC4B68-5627-4057-995E-1D4E99E309FF}"/>
            </a:ext>
          </a:extLst>
        </xdr:cNvPr>
        <xdr:cNvSpPr/>
      </xdr:nvSpPr>
      <xdr:spPr>
        <a:xfrm>
          <a:off x="4279014" y="521208"/>
          <a:ext cx="1967664" cy="787935"/>
        </a:xfrm>
        <a:custGeom>
          <a:avLst/>
          <a:gdLst>
            <a:gd name="csX0" fmla="*/ 0 w 1666401"/>
            <a:gd name="csY0" fmla="*/ 128082 h 768475"/>
            <a:gd name="csX1" fmla="*/ 128082 w 1666401"/>
            <a:gd name="csY1" fmla="*/ 0 h 768475"/>
            <a:gd name="csX2" fmla="*/ 1538319 w 1666401"/>
            <a:gd name="csY2" fmla="*/ 0 h 768475"/>
            <a:gd name="csX3" fmla="*/ 1666401 w 1666401"/>
            <a:gd name="csY3" fmla="*/ 128082 h 768475"/>
            <a:gd name="csX4" fmla="*/ 1666401 w 1666401"/>
            <a:gd name="csY4" fmla="*/ 640393 h 768475"/>
            <a:gd name="csX5" fmla="*/ 1538319 w 1666401"/>
            <a:gd name="csY5" fmla="*/ 768475 h 768475"/>
            <a:gd name="csX6" fmla="*/ 128082 w 1666401"/>
            <a:gd name="csY6" fmla="*/ 768475 h 768475"/>
            <a:gd name="csX7" fmla="*/ 0 w 1666401"/>
            <a:gd name="csY7" fmla="*/ 640393 h 768475"/>
            <a:gd name="csX8" fmla="*/ 0 w 1666401"/>
            <a:gd name="csY8" fmla="*/ 128082 h 768475"/>
            <a:gd name="csX0" fmla="*/ 0 w 1672433"/>
            <a:gd name="csY0" fmla="*/ 129885 h 770278"/>
            <a:gd name="csX1" fmla="*/ 128082 w 1672433"/>
            <a:gd name="csY1" fmla="*/ 1803 h 770278"/>
            <a:gd name="csX2" fmla="*/ 1538319 w 1672433"/>
            <a:gd name="csY2" fmla="*/ 1803 h 770278"/>
            <a:gd name="csX3" fmla="*/ 1672433 w 1672433"/>
            <a:gd name="csY3" fmla="*/ 55494 h 770278"/>
            <a:gd name="csX4" fmla="*/ 1666401 w 1672433"/>
            <a:gd name="csY4" fmla="*/ 642196 h 770278"/>
            <a:gd name="csX5" fmla="*/ 1538319 w 1672433"/>
            <a:gd name="csY5" fmla="*/ 770278 h 770278"/>
            <a:gd name="csX6" fmla="*/ 128082 w 1672433"/>
            <a:gd name="csY6" fmla="*/ 770278 h 770278"/>
            <a:gd name="csX7" fmla="*/ 0 w 1672433"/>
            <a:gd name="csY7" fmla="*/ 642196 h 770278"/>
            <a:gd name="csX8" fmla="*/ 0 w 1672433"/>
            <a:gd name="csY8" fmla="*/ 129885 h 770278"/>
            <a:gd name="csX0" fmla="*/ 0 w 1676454"/>
            <a:gd name="csY0" fmla="*/ 129885 h 770278"/>
            <a:gd name="csX1" fmla="*/ 128082 w 1676454"/>
            <a:gd name="csY1" fmla="*/ 1803 h 770278"/>
            <a:gd name="csX2" fmla="*/ 1538319 w 1676454"/>
            <a:gd name="csY2" fmla="*/ 1803 h 770278"/>
            <a:gd name="csX3" fmla="*/ 1672433 w 1676454"/>
            <a:gd name="csY3" fmla="*/ 55494 h 770278"/>
            <a:gd name="csX4" fmla="*/ 1676454 w 1676454"/>
            <a:gd name="csY4" fmla="*/ 686428 h 770278"/>
            <a:gd name="csX5" fmla="*/ 1538319 w 1676454"/>
            <a:gd name="csY5" fmla="*/ 770278 h 770278"/>
            <a:gd name="csX6" fmla="*/ 128082 w 1676454"/>
            <a:gd name="csY6" fmla="*/ 770278 h 770278"/>
            <a:gd name="csX7" fmla="*/ 0 w 1676454"/>
            <a:gd name="csY7" fmla="*/ 642196 h 770278"/>
            <a:gd name="csX8" fmla="*/ 0 w 1676454"/>
            <a:gd name="csY8" fmla="*/ 129885 h 770278"/>
            <a:gd name="csX0" fmla="*/ 0 w 1676454"/>
            <a:gd name="csY0" fmla="*/ 128082 h 768475"/>
            <a:gd name="csX1" fmla="*/ 128082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81839 w 1676454"/>
            <a:gd name="csY6" fmla="*/ 766464 h 768475"/>
            <a:gd name="csX7" fmla="*/ 0 w 1676454"/>
            <a:gd name="csY7" fmla="*/ 640393 h 768475"/>
            <a:gd name="csX8" fmla="*/ 0 w 1676454"/>
            <a:gd name="csY8" fmla="*/ 128082 h 7684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76454" h="768475">
              <a:moveTo>
                <a:pt x="0" y="128082"/>
              </a:moveTo>
              <a:cubicBezTo>
                <a:pt x="0" y="57344"/>
                <a:pt x="7080" y="0"/>
                <a:pt x="77818" y="0"/>
              </a:cubicBezTo>
              <a:lnTo>
                <a:pt x="1538319" y="0"/>
              </a:lnTo>
              <a:cubicBezTo>
                <a:pt x="1609057" y="0"/>
                <a:pt x="1672433" y="3058"/>
                <a:pt x="1672433" y="73796"/>
              </a:cubicBezTo>
              <a:cubicBezTo>
                <a:pt x="1672433" y="244566"/>
                <a:pt x="1676454" y="513855"/>
                <a:pt x="1676454" y="684625"/>
              </a:cubicBezTo>
              <a:cubicBezTo>
                <a:pt x="1676454" y="755363"/>
                <a:pt x="1609057" y="768475"/>
                <a:pt x="1538319" y="768475"/>
              </a:cubicBezTo>
              <a:lnTo>
                <a:pt x="81839" y="766464"/>
              </a:lnTo>
              <a:cubicBezTo>
                <a:pt x="11101" y="766464"/>
                <a:pt x="0" y="711131"/>
                <a:pt x="0" y="640393"/>
              </a:cubicBezTo>
              <a:lnTo>
                <a:pt x="0" y="128082"/>
              </a:lnTo>
              <a:close/>
            </a:path>
          </a:pathLst>
        </a:custGeom>
        <a:solidFill>
          <a:srgbClr val="37816E"/>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83235</xdr:colOff>
      <xdr:row>2</xdr:row>
      <xdr:rowOff>147984</xdr:rowOff>
    </xdr:from>
    <xdr:to>
      <xdr:col>14</xdr:col>
      <xdr:colOff>231429</xdr:colOff>
      <xdr:row>7</xdr:row>
      <xdr:rowOff>2857</xdr:rowOff>
    </xdr:to>
    <xdr:sp macro="" textlink="">
      <xdr:nvSpPr>
        <xdr:cNvPr id="20" name="Rectangle: Rounded Corners 14">
          <a:extLst>
            <a:ext uri="{FF2B5EF4-FFF2-40B4-BE49-F238E27FC236}">
              <a16:creationId xmlns:a16="http://schemas.microsoft.com/office/drawing/2014/main" id="{A72F89AC-CB59-43AF-86D9-6027638FE51B}"/>
            </a:ext>
          </a:extLst>
        </xdr:cNvPr>
        <xdr:cNvSpPr/>
      </xdr:nvSpPr>
      <xdr:spPr>
        <a:xfrm>
          <a:off x="6754623" y="521208"/>
          <a:ext cx="1967663" cy="787935"/>
        </a:xfrm>
        <a:custGeom>
          <a:avLst/>
          <a:gdLst>
            <a:gd name="csX0" fmla="*/ 0 w 1666401"/>
            <a:gd name="csY0" fmla="*/ 128082 h 768475"/>
            <a:gd name="csX1" fmla="*/ 128082 w 1666401"/>
            <a:gd name="csY1" fmla="*/ 0 h 768475"/>
            <a:gd name="csX2" fmla="*/ 1538319 w 1666401"/>
            <a:gd name="csY2" fmla="*/ 0 h 768475"/>
            <a:gd name="csX3" fmla="*/ 1666401 w 1666401"/>
            <a:gd name="csY3" fmla="*/ 128082 h 768475"/>
            <a:gd name="csX4" fmla="*/ 1666401 w 1666401"/>
            <a:gd name="csY4" fmla="*/ 640393 h 768475"/>
            <a:gd name="csX5" fmla="*/ 1538319 w 1666401"/>
            <a:gd name="csY5" fmla="*/ 768475 h 768475"/>
            <a:gd name="csX6" fmla="*/ 128082 w 1666401"/>
            <a:gd name="csY6" fmla="*/ 768475 h 768475"/>
            <a:gd name="csX7" fmla="*/ 0 w 1666401"/>
            <a:gd name="csY7" fmla="*/ 640393 h 768475"/>
            <a:gd name="csX8" fmla="*/ 0 w 1666401"/>
            <a:gd name="csY8" fmla="*/ 128082 h 768475"/>
            <a:gd name="csX0" fmla="*/ 0 w 1672433"/>
            <a:gd name="csY0" fmla="*/ 129885 h 770278"/>
            <a:gd name="csX1" fmla="*/ 128082 w 1672433"/>
            <a:gd name="csY1" fmla="*/ 1803 h 770278"/>
            <a:gd name="csX2" fmla="*/ 1538319 w 1672433"/>
            <a:gd name="csY2" fmla="*/ 1803 h 770278"/>
            <a:gd name="csX3" fmla="*/ 1672433 w 1672433"/>
            <a:gd name="csY3" fmla="*/ 55494 h 770278"/>
            <a:gd name="csX4" fmla="*/ 1666401 w 1672433"/>
            <a:gd name="csY4" fmla="*/ 642196 h 770278"/>
            <a:gd name="csX5" fmla="*/ 1538319 w 1672433"/>
            <a:gd name="csY5" fmla="*/ 770278 h 770278"/>
            <a:gd name="csX6" fmla="*/ 128082 w 1672433"/>
            <a:gd name="csY6" fmla="*/ 770278 h 770278"/>
            <a:gd name="csX7" fmla="*/ 0 w 1672433"/>
            <a:gd name="csY7" fmla="*/ 642196 h 770278"/>
            <a:gd name="csX8" fmla="*/ 0 w 1672433"/>
            <a:gd name="csY8" fmla="*/ 129885 h 770278"/>
            <a:gd name="csX0" fmla="*/ 0 w 1676454"/>
            <a:gd name="csY0" fmla="*/ 129885 h 770278"/>
            <a:gd name="csX1" fmla="*/ 128082 w 1676454"/>
            <a:gd name="csY1" fmla="*/ 1803 h 770278"/>
            <a:gd name="csX2" fmla="*/ 1538319 w 1676454"/>
            <a:gd name="csY2" fmla="*/ 1803 h 770278"/>
            <a:gd name="csX3" fmla="*/ 1672433 w 1676454"/>
            <a:gd name="csY3" fmla="*/ 55494 h 770278"/>
            <a:gd name="csX4" fmla="*/ 1676454 w 1676454"/>
            <a:gd name="csY4" fmla="*/ 686428 h 770278"/>
            <a:gd name="csX5" fmla="*/ 1538319 w 1676454"/>
            <a:gd name="csY5" fmla="*/ 770278 h 770278"/>
            <a:gd name="csX6" fmla="*/ 128082 w 1676454"/>
            <a:gd name="csY6" fmla="*/ 770278 h 770278"/>
            <a:gd name="csX7" fmla="*/ 0 w 1676454"/>
            <a:gd name="csY7" fmla="*/ 642196 h 770278"/>
            <a:gd name="csX8" fmla="*/ 0 w 1676454"/>
            <a:gd name="csY8" fmla="*/ 129885 h 770278"/>
            <a:gd name="csX0" fmla="*/ 0 w 1676454"/>
            <a:gd name="csY0" fmla="*/ 128082 h 768475"/>
            <a:gd name="csX1" fmla="*/ 128082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81839 w 1676454"/>
            <a:gd name="csY6" fmla="*/ 766464 h 768475"/>
            <a:gd name="csX7" fmla="*/ 0 w 1676454"/>
            <a:gd name="csY7" fmla="*/ 640393 h 768475"/>
            <a:gd name="csX8" fmla="*/ 0 w 1676454"/>
            <a:gd name="csY8" fmla="*/ 128082 h 7684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76454" h="768475">
              <a:moveTo>
                <a:pt x="0" y="128082"/>
              </a:moveTo>
              <a:cubicBezTo>
                <a:pt x="0" y="57344"/>
                <a:pt x="7080" y="0"/>
                <a:pt x="77818" y="0"/>
              </a:cubicBezTo>
              <a:lnTo>
                <a:pt x="1538319" y="0"/>
              </a:lnTo>
              <a:cubicBezTo>
                <a:pt x="1609057" y="0"/>
                <a:pt x="1672433" y="3058"/>
                <a:pt x="1672433" y="73796"/>
              </a:cubicBezTo>
              <a:cubicBezTo>
                <a:pt x="1672433" y="244566"/>
                <a:pt x="1676454" y="513855"/>
                <a:pt x="1676454" y="684625"/>
              </a:cubicBezTo>
              <a:cubicBezTo>
                <a:pt x="1676454" y="755363"/>
                <a:pt x="1609057" y="768475"/>
                <a:pt x="1538319" y="768475"/>
              </a:cubicBezTo>
              <a:lnTo>
                <a:pt x="81839" y="766464"/>
              </a:lnTo>
              <a:cubicBezTo>
                <a:pt x="11101" y="766464"/>
                <a:pt x="0" y="711131"/>
                <a:pt x="0" y="640393"/>
              </a:cubicBezTo>
              <a:lnTo>
                <a:pt x="0" y="128082"/>
              </a:lnTo>
              <a:close/>
            </a:path>
          </a:pathLst>
        </a:custGeom>
        <a:solidFill>
          <a:srgbClr val="37619F"/>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132883</xdr:colOff>
      <xdr:row>2</xdr:row>
      <xdr:rowOff>147984</xdr:rowOff>
    </xdr:from>
    <xdr:to>
      <xdr:col>18</xdr:col>
      <xdr:colOff>279633</xdr:colOff>
      <xdr:row>7</xdr:row>
      <xdr:rowOff>2857</xdr:rowOff>
    </xdr:to>
    <xdr:sp macro="" textlink="">
      <xdr:nvSpPr>
        <xdr:cNvPr id="21" name="Rectangle: Rounded Corners 14">
          <a:extLst>
            <a:ext uri="{FF2B5EF4-FFF2-40B4-BE49-F238E27FC236}">
              <a16:creationId xmlns:a16="http://schemas.microsoft.com/office/drawing/2014/main" id="{69B6434C-DF5B-4E53-8B98-833FB50AA4E5}"/>
            </a:ext>
          </a:extLst>
        </xdr:cNvPr>
        <xdr:cNvSpPr/>
      </xdr:nvSpPr>
      <xdr:spPr>
        <a:xfrm>
          <a:off x="9230230" y="521208"/>
          <a:ext cx="1966219" cy="787935"/>
        </a:xfrm>
        <a:custGeom>
          <a:avLst/>
          <a:gdLst>
            <a:gd name="csX0" fmla="*/ 0 w 1666401"/>
            <a:gd name="csY0" fmla="*/ 128082 h 768475"/>
            <a:gd name="csX1" fmla="*/ 128082 w 1666401"/>
            <a:gd name="csY1" fmla="*/ 0 h 768475"/>
            <a:gd name="csX2" fmla="*/ 1538319 w 1666401"/>
            <a:gd name="csY2" fmla="*/ 0 h 768475"/>
            <a:gd name="csX3" fmla="*/ 1666401 w 1666401"/>
            <a:gd name="csY3" fmla="*/ 128082 h 768475"/>
            <a:gd name="csX4" fmla="*/ 1666401 w 1666401"/>
            <a:gd name="csY4" fmla="*/ 640393 h 768475"/>
            <a:gd name="csX5" fmla="*/ 1538319 w 1666401"/>
            <a:gd name="csY5" fmla="*/ 768475 h 768475"/>
            <a:gd name="csX6" fmla="*/ 128082 w 1666401"/>
            <a:gd name="csY6" fmla="*/ 768475 h 768475"/>
            <a:gd name="csX7" fmla="*/ 0 w 1666401"/>
            <a:gd name="csY7" fmla="*/ 640393 h 768475"/>
            <a:gd name="csX8" fmla="*/ 0 w 1666401"/>
            <a:gd name="csY8" fmla="*/ 128082 h 768475"/>
            <a:gd name="csX0" fmla="*/ 0 w 1672433"/>
            <a:gd name="csY0" fmla="*/ 129885 h 770278"/>
            <a:gd name="csX1" fmla="*/ 128082 w 1672433"/>
            <a:gd name="csY1" fmla="*/ 1803 h 770278"/>
            <a:gd name="csX2" fmla="*/ 1538319 w 1672433"/>
            <a:gd name="csY2" fmla="*/ 1803 h 770278"/>
            <a:gd name="csX3" fmla="*/ 1672433 w 1672433"/>
            <a:gd name="csY3" fmla="*/ 55494 h 770278"/>
            <a:gd name="csX4" fmla="*/ 1666401 w 1672433"/>
            <a:gd name="csY4" fmla="*/ 642196 h 770278"/>
            <a:gd name="csX5" fmla="*/ 1538319 w 1672433"/>
            <a:gd name="csY5" fmla="*/ 770278 h 770278"/>
            <a:gd name="csX6" fmla="*/ 128082 w 1672433"/>
            <a:gd name="csY6" fmla="*/ 770278 h 770278"/>
            <a:gd name="csX7" fmla="*/ 0 w 1672433"/>
            <a:gd name="csY7" fmla="*/ 642196 h 770278"/>
            <a:gd name="csX8" fmla="*/ 0 w 1672433"/>
            <a:gd name="csY8" fmla="*/ 129885 h 770278"/>
            <a:gd name="csX0" fmla="*/ 0 w 1676454"/>
            <a:gd name="csY0" fmla="*/ 129885 h 770278"/>
            <a:gd name="csX1" fmla="*/ 128082 w 1676454"/>
            <a:gd name="csY1" fmla="*/ 1803 h 770278"/>
            <a:gd name="csX2" fmla="*/ 1538319 w 1676454"/>
            <a:gd name="csY2" fmla="*/ 1803 h 770278"/>
            <a:gd name="csX3" fmla="*/ 1672433 w 1676454"/>
            <a:gd name="csY3" fmla="*/ 55494 h 770278"/>
            <a:gd name="csX4" fmla="*/ 1676454 w 1676454"/>
            <a:gd name="csY4" fmla="*/ 686428 h 770278"/>
            <a:gd name="csX5" fmla="*/ 1538319 w 1676454"/>
            <a:gd name="csY5" fmla="*/ 770278 h 770278"/>
            <a:gd name="csX6" fmla="*/ 128082 w 1676454"/>
            <a:gd name="csY6" fmla="*/ 770278 h 770278"/>
            <a:gd name="csX7" fmla="*/ 0 w 1676454"/>
            <a:gd name="csY7" fmla="*/ 642196 h 770278"/>
            <a:gd name="csX8" fmla="*/ 0 w 1676454"/>
            <a:gd name="csY8" fmla="*/ 129885 h 770278"/>
            <a:gd name="csX0" fmla="*/ 0 w 1676454"/>
            <a:gd name="csY0" fmla="*/ 128082 h 768475"/>
            <a:gd name="csX1" fmla="*/ 128082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128082 w 1676454"/>
            <a:gd name="csY6" fmla="*/ 768475 h 768475"/>
            <a:gd name="csX7" fmla="*/ 0 w 1676454"/>
            <a:gd name="csY7" fmla="*/ 640393 h 768475"/>
            <a:gd name="csX8" fmla="*/ 0 w 1676454"/>
            <a:gd name="csY8" fmla="*/ 128082 h 768475"/>
            <a:gd name="csX0" fmla="*/ 0 w 1676454"/>
            <a:gd name="csY0" fmla="*/ 128082 h 768475"/>
            <a:gd name="csX1" fmla="*/ 77818 w 1676454"/>
            <a:gd name="csY1" fmla="*/ 0 h 768475"/>
            <a:gd name="csX2" fmla="*/ 1538319 w 1676454"/>
            <a:gd name="csY2" fmla="*/ 0 h 768475"/>
            <a:gd name="csX3" fmla="*/ 1672433 w 1676454"/>
            <a:gd name="csY3" fmla="*/ 73796 h 768475"/>
            <a:gd name="csX4" fmla="*/ 1676454 w 1676454"/>
            <a:gd name="csY4" fmla="*/ 684625 h 768475"/>
            <a:gd name="csX5" fmla="*/ 1538319 w 1676454"/>
            <a:gd name="csY5" fmla="*/ 768475 h 768475"/>
            <a:gd name="csX6" fmla="*/ 81839 w 1676454"/>
            <a:gd name="csY6" fmla="*/ 766464 h 768475"/>
            <a:gd name="csX7" fmla="*/ 0 w 1676454"/>
            <a:gd name="csY7" fmla="*/ 640393 h 768475"/>
            <a:gd name="csX8" fmla="*/ 0 w 1676454"/>
            <a:gd name="csY8" fmla="*/ 128082 h 7684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76454" h="768475">
              <a:moveTo>
                <a:pt x="0" y="128082"/>
              </a:moveTo>
              <a:cubicBezTo>
                <a:pt x="0" y="57344"/>
                <a:pt x="7080" y="0"/>
                <a:pt x="77818" y="0"/>
              </a:cubicBezTo>
              <a:lnTo>
                <a:pt x="1538319" y="0"/>
              </a:lnTo>
              <a:cubicBezTo>
                <a:pt x="1609057" y="0"/>
                <a:pt x="1672433" y="3058"/>
                <a:pt x="1672433" y="73796"/>
              </a:cubicBezTo>
              <a:cubicBezTo>
                <a:pt x="1672433" y="244566"/>
                <a:pt x="1676454" y="513855"/>
                <a:pt x="1676454" y="684625"/>
              </a:cubicBezTo>
              <a:cubicBezTo>
                <a:pt x="1676454" y="755363"/>
                <a:pt x="1609057" y="768475"/>
                <a:pt x="1538319" y="768475"/>
              </a:cubicBezTo>
              <a:lnTo>
                <a:pt x="81839" y="766464"/>
              </a:lnTo>
              <a:cubicBezTo>
                <a:pt x="11101" y="766464"/>
                <a:pt x="0" y="711131"/>
                <a:pt x="0" y="640393"/>
              </a:cubicBezTo>
              <a:lnTo>
                <a:pt x="0" y="128082"/>
              </a:lnTo>
              <a:close/>
            </a:path>
          </a:pathLst>
        </a:custGeom>
        <a:solidFill>
          <a:srgbClr val="37619F"/>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92659</xdr:colOff>
      <xdr:row>4</xdr:row>
      <xdr:rowOff>40173</xdr:rowOff>
    </xdr:from>
    <xdr:to>
      <xdr:col>3</xdr:col>
      <xdr:colOff>591586</xdr:colOff>
      <xdr:row>5</xdr:row>
      <xdr:rowOff>80346</xdr:rowOff>
    </xdr:to>
    <xdr:sp macro="" textlink="">
      <xdr:nvSpPr>
        <xdr:cNvPr id="10" name="Freeform: Shape 9">
          <a:extLst>
            <a:ext uri="{FF2B5EF4-FFF2-40B4-BE49-F238E27FC236}">
              <a16:creationId xmlns:a16="http://schemas.microsoft.com/office/drawing/2014/main" id="{2A24A9DC-CC4C-5B8C-CD2E-6599CFC9F24C}"/>
            </a:ext>
          </a:extLst>
        </xdr:cNvPr>
        <xdr:cNvSpPr/>
      </xdr:nvSpPr>
      <xdr:spPr>
        <a:xfrm>
          <a:off x="1912128" y="786622"/>
          <a:ext cx="498927" cy="226785"/>
        </a:xfrm>
        <a:custGeom>
          <a:avLst/>
          <a:gdLst>
            <a:gd name="csX0" fmla="*/ 464910 w 498927"/>
            <a:gd name="csY0" fmla="*/ 175759 h 226785"/>
            <a:gd name="csX1" fmla="*/ 447901 w 498927"/>
            <a:gd name="csY1" fmla="*/ 192768 h 226785"/>
            <a:gd name="csX2" fmla="*/ 56696 w 498927"/>
            <a:gd name="csY2" fmla="*/ 192768 h 226785"/>
            <a:gd name="csX3" fmla="*/ 34018 w 498927"/>
            <a:gd name="csY3" fmla="*/ 170089 h 226785"/>
            <a:gd name="csX4" fmla="*/ 34018 w 498927"/>
            <a:gd name="csY4" fmla="*/ 56696 h 226785"/>
            <a:gd name="csX5" fmla="*/ 56696 w 498927"/>
            <a:gd name="csY5" fmla="*/ 34018 h 226785"/>
            <a:gd name="csX6" fmla="*/ 447901 w 498927"/>
            <a:gd name="csY6" fmla="*/ 34018 h 226785"/>
            <a:gd name="csX7" fmla="*/ 464910 w 498927"/>
            <a:gd name="csY7" fmla="*/ 51027 h 226785"/>
            <a:gd name="csX8" fmla="*/ 464910 w 498927"/>
            <a:gd name="csY8" fmla="*/ 175759 h 226785"/>
            <a:gd name="csX9" fmla="*/ 0 w 498927"/>
            <a:gd name="csY9" fmla="*/ 0 h 226785"/>
            <a:gd name="csX10" fmla="*/ 0 w 498927"/>
            <a:gd name="csY10" fmla="*/ 226785 h 226785"/>
            <a:gd name="csX11" fmla="*/ 498928 w 498927"/>
            <a:gd name="csY11" fmla="*/ 226785 h 226785"/>
            <a:gd name="csX12" fmla="*/ 498928 w 498927"/>
            <a:gd name="csY12" fmla="*/ 0 h 226785"/>
            <a:gd name="csX13" fmla="*/ 0 w 498927"/>
            <a:gd name="csY13" fmla="*/ 0 h 2267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498927" h="226785">
              <a:moveTo>
                <a:pt x="464910" y="175759"/>
              </a:moveTo>
              <a:lnTo>
                <a:pt x="447901" y="192768"/>
              </a:lnTo>
              <a:lnTo>
                <a:pt x="56696" y="192768"/>
              </a:lnTo>
              <a:lnTo>
                <a:pt x="34018" y="170089"/>
              </a:lnTo>
              <a:lnTo>
                <a:pt x="34018" y="56696"/>
              </a:lnTo>
              <a:lnTo>
                <a:pt x="56696" y="34018"/>
              </a:lnTo>
              <a:lnTo>
                <a:pt x="447901" y="34018"/>
              </a:lnTo>
              <a:lnTo>
                <a:pt x="464910" y="51027"/>
              </a:lnTo>
              <a:lnTo>
                <a:pt x="464910" y="175759"/>
              </a:lnTo>
              <a:close/>
              <a:moveTo>
                <a:pt x="0" y="0"/>
              </a:moveTo>
              <a:lnTo>
                <a:pt x="0" y="226785"/>
              </a:lnTo>
              <a:lnTo>
                <a:pt x="498928" y="226785"/>
              </a:lnTo>
              <a:lnTo>
                <a:pt x="498928" y="0"/>
              </a:lnTo>
              <a:lnTo>
                <a:pt x="0" y="0"/>
              </a:lnTo>
              <a:close/>
            </a:path>
          </a:pathLst>
        </a:custGeom>
        <a:solidFill>
          <a:srgbClr val="CAE8E0"/>
        </a:solidFill>
        <a:ln w="5655" cap="flat">
          <a:noFill/>
          <a:prstDash val="solid"/>
          <a:miter/>
        </a:ln>
      </xdr:spPr>
    </xdr:sp>
    <xdr:clientData/>
  </xdr:twoCellAnchor>
  <xdr:twoCellAnchor>
    <xdr:from>
      <xdr:col>3</xdr:col>
      <xdr:colOff>296766</xdr:colOff>
      <xdr:row>4</xdr:row>
      <xdr:rowOff>96869</xdr:rowOff>
    </xdr:from>
    <xdr:to>
      <xdr:col>3</xdr:col>
      <xdr:colOff>387480</xdr:colOff>
      <xdr:row>5</xdr:row>
      <xdr:rowOff>23649</xdr:rowOff>
    </xdr:to>
    <xdr:sp macro="" textlink="">
      <xdr:nvSpPr>
        <xdr:cNvPr id="11" name="Oval 10">
          <a:extLst>
            <a:ext uri="{FF2B5EF4-FFF2-40B4-BE49-F238E27FC236}">
              <a16:creationId xmlns:a16="http://schemas.microsoft.com/office/drawing/2014/main" id="{D8CE6552-A934-5FDB-0BD3-F3261FEE8A75}"/>
            </a:ext>
          </a:extLst>
        </xdr:cNvPr>
        <xdr:cNvSpPr/>
      </xdr:nvSpPr>
      <xdr:spPr>
        <a:xfrm>
          <a:off x="2116235" y="843318"/>
          <a:ext cx="90714" cy="113392"/>
        </a:xfrm>
        <a:prstGeom prst="ellipse">
          <a:avLst/>
        </a:prstGeom>
        <a:solidFill>
          <a:srgbClr val="CAE8E0"/>
        </a:solidFill>
        <a:ln w="5655" cap="flat">
          <a:noFill/>
          <a:prstDash val="solid"/>
          <a:miter/>
        </a:ln>
      </xdr:spPr>
    </xdr:sp>
    <xdr:clientData/>
  </xdr:twoCellAnchor>
  <xdr:twoCellAnchor>
    <xdr:from>
      <xdr:col>3</xdr:col>
      <xdr:colOff>183373</xdr:colOff>
      <xdr:row>4</xdr:row>
      <xdr:rowOff>136557</xdr:rowOff>
    </xdr:from>
    <xdr:to>
      <xdr:col>3</xdr:col>
      <xdr:colOff>217390</xdr:colOff>
      <xdr:row>4</xdr:row>
      <xdr:rowOff>170574</xdr:rowOff>
    </xdr:to>
    <xdr:sp macro="" textlink="">
      <xdr:nvSpPr>
        <xdr:cNvPr id="12" name="Oval 11">
          <a:extLst>
            <a:ext uri="{FF2B5EF4-FFF2-40B4-BE49-F238E27FC236}">
              <a16:creationId xmlns:a16="http://schemas.microsoft.com/office/drawing/2014/main" id="{8546B154-445B-AC2C-7FFE-FF02E9513CF3}"/>
            </a:ext>
          </a:extLst>
        </xdr:cNvPr>
        <xdr:cNvSpPr/>
      </xdr:nvSpPr>
      <xdr:spPr>
        <a:xfrm>
          <a:off x="2002842" y="883006"/>
          <a:ext cx="34017" cy="34017"/>
        </a:xfrm>
        <a:prstGeom prst="ellipse">
          <a:avLst/>
        </a:prstGeom>
        <a:solidFill>
          <a:srgbClr val="CAE8E0"/>
        </a:solidFill>
        <a:ln w="5655" cap="flat">
          <a:noFill/>
          <a:prstDash val="solid"/>
          <a:miter/>
        </a:ln>
      </xdr:spPr>
    </xdr:sp>
    <xdr:clientData/>
  </xdr:twoCellAnchor>
  <xdr:twoCellAnchor>
    <xdr:from>
      <xdr:col>3</xdr:col>
      <xdr:colOff>466855</xdr:colOff>
      <xdr:row>4</xdr:row>
      <xdr:rowOff>136557</xdr:rowOff>
    </xdr:from>
    <xdr:to>
      <xdr:col>3</xdr:col>
      <xdr:colOff>500872</xdr:colOff>
      <xdr:row>4</xdr:row>
      <xdr:rowOff>170574</xdr:rowOff>
    </xdr:to>
    <xdr:sp macro="" textlink="">
      <xdr:nvSpPr>
        <xdr:cNvPr id="13" name="Oval 12">
          <a:extLst>
            <a:ext uri="{FF2B5EF4-FFF2-40B4-BE49-F238E27FC236}">
              <a16:creationId xmlns:a16="http://schemas.microsoft.com/office/drawing/2014/main" id="{0F0F43E9-B604-DC36-F722-D8C871209D6B}"/>
            </a:ext>
          </a:extLst>
        </xdr:cNvPr>
        <xdr:cNvSpPr/>
      </xdr:nvSpPr>
      <xdr:spPr>
        <a:xfrm>
          <a:off x="2286324" y="883006"/>
          <a:ext cx="34017" cy="34017"/>
        </a:xfrm>
        <a:prstGeom prst="ellipse">
          <a:avLst/>
        </a:prstGeom>
        <a:solidFill>
          <a:srgbClr val="CAE8E0"/>
        </a:solidFill>
        <a:ln w="5655" cap="flat">
          <a:noFill/>
          <a:prstDash val="solid"/>
          <a:miter/>
        </a:ln>
      </xdr:spPr>
    </xdr:sp>
    <xdr:clientData/>
  </xdr:twoCellAnchor>
  <xdr:twoCellAnchor>
    <xdr:from>
      <xdr:col>3</xdr:col>
      <xdr:colOff>157293</xdr:colOff>
      <xdr:row>3</xdr:row>
      <xdr:rowOff>72571</xdr:rowOff>
    </xdr:from>
    <xdr:to>
      <xdr:col>3</xdr:col>
      <xdr:colOff>486131</xdr:colOff>
      <xdr:row>4</xdr:row>
      <xdr:rowOff>10690</xdr:rowOff>
    </xdr:to>
    <xdr:sp macro="" textlink="">
      <xdr:nvSpPr>
        <xdr:cNvPr id="16" name="Freeform: Shape 15">
          <a:extLst>
            <a:ext uri="{FF2B5EF4-FFF2-40B4-BE49-F238E27FC236}">
              <a16:creationId xmlns:a16="http://schemas.microsoft.com/office/drawing/2014/main" id="{44DAB233-5A58-C6BC-5AD6-82246B5DE269}"/>
            </a:ext>
          </a:extLst>
        </xdr:cNvPr>
        <xdr:cNvSpPr/>
      </xdr:nvSpPr>
      <xdr:spPr>
        <a:xfrm>
          <a:off x="1976762" y="632408"/>
          <a:ext cx="328838" cy="124731"/>
        </a:xfrm>
        <a:custGeom>
          <a:avLst/>
          <a:gdLst>
            <a:gd name="csX0" fmla="*/ 286317 w 328838"/>
            <a:gd name="csY0" fmla="*/ 44790 h 124731"/>
            <a:gd name="csX1" fmla="*/ 294821 w 328838"/>
            <a:gd name="csY1" fmla="*/ 66335 h 124731"/>
            <a:gd name="csX2" fmla="*/ 328839 w 328838"/>
            <a:gd name="csY2" fmla="*/ 59531 h 124731"/>
            <a:gd name="csX3" fmla="*/ 305026 w 328838"/>
            <a:gd name="csY3" fmla="*/ 0 h 124731"/>
            <a:gd name="csX4" fmla="*/ 0 w 328838"/>
            <a:gd name="csY4" fmla="*/ 124732 h 124731"/>
            <a:gd name="csX5" fmla="*/ 174625 w 328838"/>
            <a:gd name="csY5" fmla="*/ 90147 h 124731"/>
          </a:gdLst>
          <a:ahLst/>
          <a:cxnLst>
            <a:cxn ang="0">
              <a:pos x="csX0" y="csY0"/>
            </a:cxn>
            <a:cxn ang="0">
              <a:pos x="csX1" y="csY1"/>
            </a:cxn>
            <a:cxn ang="0">
              <a:pos x="csX2" y="csY2"/>
            </a:cxn>
            <a:cxn ang="0">
              <a:pos x="csX3" y="csY3"/>
            </a:cxn>
            <a:cxn ang="0">
              <a:pos x="csX4" y="csY4"/>
            </a:cxn>
            <a:cxn ang="0">
              <a:pos x="csX5" y="csY5"/>
            </a:cxn>
          </a:cxnLst>
          <a:rect l="l" t="t" r="r" b="b"/>
          <a:pathLst>
            <a:path w="328838" h="124731">
              <a:moveTo>
                <a:pt x="286317" y="44790"/>
              </a:moveTo>
              <a:lnTo>
                <a:pt x="294821" y="66335"/>
              </a:lnTo>
              <a:lnTo>
                <a:pt x="328839" y="59531"/>
              </a:lnTo>
              <a:lnTo>
                <a:pt x="305026" y="0"/>
              </a:lnTo>
              <a:lnTo>
                <a:pt x="0" y="124732"/>
              </a:lnTo>
              <a:lnTo>
                <a:pt x="174625" y="90147"/>
              </a:lnTo>
              <a:close/>
            </a:path>
          </a:pathLst>
        </a:custGeom>
        <a:solidFill>
          <a:srgbClr val="CAE8E0"/>
        </a:solidFill>
        <a:ln w="5655" cap="flat">
          <a:noFill/>
          <a:prstDash val="solid"/>
          <a:miter/>
        </a:ln>
      </xdr:spPr>
    </xdr:sp>
    <xdr:clientData/>
  </xdr:twoCellAnchor>
  <xdr:twoCellAnchor>
    <xdr:from>
      <xdr:col>3</xdr:col>
      <xdr:colOff>240070</xdr:colOff>
      <xdr:row>3</xdr:row>
      <xdr:rowOff>146276</xdr:rowOff>
    </xdr:from>
    <xdr:to>
      <xdr:col>3</xdr:col>
      <xdr:colOff>542261</xdr:colOff>
      <xdr:row>4</xdr:row>
      <xdr:rowOff>17494</xdr:rowOff>
    </xdr:to>
    <xdr:sp macro="" textlink="">
      <xdr:nvSpPr>
        <xdr:cNvPr id="17" name="Freeform: Shape 16">
          <a:extLst>
            <a:ext uri="{FF2B5EF4-FFF2-40B4-BE49-F238E27FC236}">
              <a16:creationId xmlns:a16="http://schemas.microsoft.com/office/drawing/2014/main" id="{3AB645D4-89DF-BD32-5B55-6D1E9D0E55CF}"/>
            </a:ext>
          </a:extLst>
        </xdr:cNvPr>
        <xdr:cNvSpPr/>
      </xdr:nvSpPr>
      <xdr:spPr>
        <a:xfrm>
          <a:off x="2059539" y="706113"/>
          <a:ext cx="302191" cy="57830"/>
        </a:xfrm>
        <a:custGeom>
          <a:avLst/>
          <a:gdLst>
            <a:gd name="csX0" fmla="*/ 174058 w 302191"/>
            <a:gd name="csY0" fmla="*/ 57830 h 57830"/>
            <a:gd name="csX1" fmla="*/ 263638 w 302191"/>
            <a:gd name="csY1" fmla="*/ 40254 h 57830"/>
            <a:gd name="csX2" fmla="*/ 267607 w 302191"/>
            <a:gd name="csY2" fmla="*/ 57830 h 57830"/>
            <a:gd name="csX3" fmla="*/ 302192 w 302191"/>
            <a:gd name="csY3" fmla="*/ 57830 h 57830"/>
            <a:gd name="csX4" fmla="*/ 290852 w 302191"/>
            <a:gd name="csY4" fmla="*/ 0 h 57830"/>
            <a:gd name="csX5" fmla="*/ 0 w 302191"/>
            <a:gd name="csY5" fmla="*/ 57830 h 57830"/>
          </a:gdLst>
          <a:ahLst/>
          <a:cxnLst>
            <a:cxn ang="0">
              <a:pos x="csX0" y="csY0"/>
            </a:cxn>
            <a:cxn ang="0">
              <a:pos x="csX1" y="csY1"/>
            </a:cxn>
            <a:cxn ang="0">
              <a:pos x="csX2" y="csY2"/>
            </a:cxn>
            <a:cxn ang="0">
              <a:pos x="csX3" y="csY3"/>
            </a:cxn>
            <a:cxn ang="0">
              <a:pos x="csX4" y="csY4"/>
            </a:cxn>
            <a:cxn ang="0">
              <a:pos x="csX5" y="csY5"/>
            </a:cxn>
          </a:cxnLst>
          <a:rect l="l" t="t" r="r" b="b"/>
          <a:pathLst>
            <a:path w="302191" h="57830">
              <a:moveTo>
                <a:pt x="174058" y="57830"/>
              </a:moveTo>
              <a:lnTo>
                <a:pt x="263638" y="40254"/>
              </a:lnTo>
              <a:lnTo>
                <a:pt x="267607" y="57830"/>
              </a:lnTo>
              <a:lnTo>
                <a:pt x="302192" y="57830"/>
              </a:lnTo>
              <a:lnTo>
                <a:pt x="290852" y="0"/>
              </a:lnTo>
              <a:lnTo>
                <a:pt x="0" y="57830"/>
              </a:lnTo>
              <a:close/>
            </a:path>
          </a:pathLst>
        </a:custGeom>
        <a:solidFill>
          <a:srgbClr val="CAE8E0"/>
        </a:solidFill>
        <a:ln w="5655" cap="flat">
          <a:noFill/>
          <a:prstDash val="solid"/>
          <a:miter/>
        </a:ln>
      </xdr:spPr>
    </xdr:sp>
    <xdr:clientData/>
  </xdr:twoCellAnchor>
  <xdr:twoCellAnchor>
    <xdr:from>
      <xdr:col>3</xdr:col>
      <xdr:colOff>546081</xdr:colOff>
      <xdr:row>3</xdr:row>
      <xdr:rowOff>38877</xdr:rowOff>
    </xdr:from>
    <xdr:to>
      <xdr:col>6</xdr:col>
      <xdr:colOff>44857</xdr:colOff>
      <xdr:row>5</xdr:row>
      <xdr:rowOff>132184</xdr:rowOff>
    </xdr:to>
    <xdr:sp macro="" textlink="">
      <xdr:nvSpPr>
        <xdr:cNvPr id="36" name="Rectangle 35">
          <a:extLst>
            <a:ext uri="{FF2B5EF4-FFF2-40B4-BE49-F238E27FC236}">
              <a16:creationId xmlns:a16="http://schemas.microsoft.com/office/drawing/2014/main" id="{481BB613-4E39-A5D8-40F7-3C610B0C6A2E}"/>
            </a:ext>
          </a:extLst>
        </xdr:cNvPr>
        <xdr:cNvSpPr/>
      </xdr:nvSpPr>
      <xdr:spPr>
        <a:xfrm>
          <a:off x="2365550" y="598714"/>
          <a:ext cx="1318246" cy="466531"/>
        </a:xfrm>
        <a:prstGeom prst="rect">
          <a:avLst/>
        </a:prstGeom>
        <a:noFill/>
      </xdr:spPr>
      <xdr:txBody>
        <a:bodyPr wrap="none" lIns="91440" tIns="45720" rIns="91440" bIns="45720">
          <a:noAutofit/>
        </a:bodyPr>
        <a:lstStyle/>
        <a:p>
          <a:pPr algn="ctr"/>
          <a:r>
            <a:rPr lang="en-US" sz="1300" b="1" cap="none" spc="0">
              <a:ln w="0"/>
              <a:solidFill>
                <a:schemeClr val="bg1"/>
              </a:solidFill>
              <a:effectLst>
                <a:outerShdw blurRad="38100" dist="19050" dir="2700000" algn="tl" rotWithShape="0">
                  <a:schemeClr val="dk1">
                    <a:alpha val="40000"/>
                  </a:schemeClr>
                </a:outerShdw>
              </a:effectLst>
            </a:rPr>
            <a:t>Total</a:t>
          </a:r>
          <a:r>
            <a:rPr lang="en-US" sz="1300" b="0" cap="none" spc="0" baseline="0">
              <a:ln w="0"/>
              <a:solidFill>
                <a:schemeClr val="tx1"/>
              </a:solidFill>
              <a:effectLst>
                <a:outerShdw blurRad="38100" dist="19050" dir="2700000" algn="tl" rotWithShape="0">
                  <a:schemeClr val="dk1">
                    <a:alpha val="40000"/>
                  </a:schemeClr>
                </a:outerShdw>
              </a:effectLst>
            </a:rPr>
            <a:t> </a:t>
          </a:r>
          <a:r>
            <a:rPr lang="en-US" sz="1300" b="1" cap="none" spc="0" baseline="0">
              <a:ln w="0"/>
              <a:solidFill>
                <a:schemeClr val="bg1"/>
              </a:solidFill>
              <a:effectLst>
                <a:outerShdw blurRad="38100" dist="19050" dir="2700000" algn="tl" rotWithShape="0">
                  <a:schemeClr val="dk1">
                    <a:alpha val="40000"/>
                  </a:schemeClr>
                </a:outerShdw>
              </a:effectLst>
            </a:rPr>
            <a:t>Sales</a:t>
          </a:r>
          <a:endParaRPr lang="en-US" sz="1300" b="1" cap="none" spc="0">
            <a:ln w="0">
              <a:no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7</xdr:col>
      <xdr:colOff>206050</xdr:colOff>
      <xdr:row>3</xdr:row>
      <xdr:rowOff>91361</xdr:rowOff>
    </xdr:from>
    <xdr:to>
      <xdr:col>8</xdr:col>
      <xdr:colOff>1943</xdr:colOff>
      <xdr:row>5</xdr:row>
      <xdr:rowOff>126351</xdr:rowOff>
    </xdr:to>
    <xdr:sp macro="" textlink="">
      <xdr:nvSpPr>
        <xdr:cNvPr id="24" name="Freeform: Shape 23">
          <a:extLst>
            <a:ext uri="{FF2B5EF4-FFF2-40B4-BE49-F238E27FC236}">
              <a16:creationId xmlns:a16="http://schemas.microsoft.com/office/drawing/2014/main" id="{63E7C232-B0CA-7548-F24F-1B48855316F6}"/>
            </a:ext>
          </a:extLst>
        </xdr:cNvPr>
        <xdr:cNvSpPr/>
      </xdr:nvSpPr>
      <xdr:spPr>
        <a:xfrm>
          <a:off x="4451479" y="651198"/>
          <a:ext cx="402382" cy="408214"/>
        </a:xfrm>
        <a:custGeom>
          <a:avLst/>
          <a:gdLst>
            <a:gd name="csX0" fmla="*/ 34990 w 402382"/>
            <a:gd name="csY0" fmla="*/ 0 h 408214"/>
            <a:gd name="csX1" fmla="*/ 0 w 402382"/>
            <a:gd name="csY1" fmla="*/ 0 h 408214"/>
            <a:gd name="csX2" fmla="*/ 0 w 402382"/>
            <a:gd name="csY2" fmla="*/ 408214 h 408214"/>
            <a:gd name="csX3" fmla="*/ 402383 w 402382"/>
            <a:gd name="csY3" fmla="*/ 408214 h 408214"/>
            <a:gd name="csX4" fmla="*/ 402383 w 402382"/>
            <a:gd name="csY4" fmla="*/ 373225 h 408214"/>
            <a:gd name="csX5" fmla="*/ 34990 w 402382"/>
            <a:gd name="csY5" fmla="*/ 373225 h 408214"/>
            <a:gd name="csX6" fmla="*/ 34990 w 402382"/>
            <a:gd name="csY6" fmla="*/ 0 h 40821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02382" h="408214">
              <a:moveTo>
                <a:pt x="34990" y="0"/>
              </a:moveTo>
              <a:lnTo>
                <a:pt x="0" y="0"/>
              </a:lnTo>
              <a:lnTo>
                <a:pt x="0" y="408214"/>
              </a:lnTo>
              <a:lnTo>
                <a:pt x="402383" y="408214"/>
              </a:lnTo>
              <a:lnTo>
                <a:pt x="402383" y="373225"/>
              </a:lnTo>
              <a:lnTo>
                <a:pt x="34990" y="373225"/>
              </a:lnTo>
              <a:lnTo>
                <a:pt x="34990" y="0"/>
              </a:lnTo>
              <a:close/>
            </a:path>
          </a:pathLst>
        </a:custGeom>
        <a:solidFill>
          <a:srgbClr val="CAE8E0"/>
        </a:solidFill>
        <a:ln w="5755" cap="flat">
          <a:noFill/>
          <a:prstDash val="solid"/>
          <a:miter/>
        </a:ln>
      </xdr:spPr>
    </xdr:sp>
    <xdr:clientData/>
  </xdr:twoCellAnchor>
  <xdr:twoCellAnchor>
    <xdr:from>
      <xdr:col>7</xdr:col>
      <xdr:colOff>520959</xdr:colOff>
      <xdr:row>3</xdr:row>
      <xdr:rowOff>91361</xdr:rowOff>
    </xdr:from>
    <xdr:to>
      <xdr:col>8</xdr:col>
      <xdr:colOff>1944</xdr:colOff>
      <xdr:row>5</xdr:row>
      <xdr:rowOff>56371</xdr:rowOff>
    </xdr:to>
    <xdr:sp macro="" textlink="">
      <xdr:nvSpPr>
        <xdr:cNvPr id="25" name="Rectangle 24">
          <a:extLst>
            <a:ext uri="{FF2B5EF4-FFF2-40B4-BE49-F238E27FC236}">
              <a16:creationId xmlns:a16="http://schemas.microsoft.com/office/drawing/2014/main" id="{570A0B6C-0F97-3633-388D-F80968D2F2BD}"/>
            </a:ext>
          </a:extLst>
        </xdr:cNvPr>
        <xdr:cNvSpPr/>
      </xdr:nvSpPr>
      <xdr:spPr>
        <a:xfrm rot="10800000">
          <a:off x="4766388" y="651198"/>
          <a:ext cx="87474" cy="338234"/>
        </a:xfrm>
        <a:prstGeom prst="rect">
          <a:avLst/>
        </a:prstGeom>
        <a:solidFill>
          <a:srgbClr val="CAE8E0"/>
        </a:solidFill>
        <a:ln w="5755" cap="flat">
          <a:noFill/>
          <a:prstDash val="solid"/>
          <a:miter/>
        </a:ln>
      </xdr:spPr>
    </xdr:sp>
    <xdr:clientData/>
  </xdr:twoCellAnchor>
  <xdr:twoCellAnchor>
    <xdr:from>
      <xdr:col>7</xdr:col>
      <xdr:colOff>398494</xdr:colOff>
      <xdr:row>4</xdr:row>
      <xdr:rowOff>21381</xdr:rowOff>
    </xdr:from>
    <xdr:to>
      <xdr:col>7</xdr:col>
      <xdr:colOff>485968</xdr:colOff>
      <xdr:row>5</xdr:row>
      <xdr:rowOff>56371</xdr:rowOff>
    </xdr:to>
    <xdr:sp macro="" textlink="">
      <xdr:nvSpPr>
        <xdr:cNvPr id="26" name="Rectangle 25">
          <a:extLst>
            <a:ext uri="{FF2B5EF4-FFF2-40B4-BE49-F238E27FC236}">
              <a16:creationId xmlns:a16="http://schemas.microsoft.com/office/drawing/2014/main" id="{BC80A2EE-87FB-57AF-514A-82E083FEF3E6}"/>
            </a:ext>
          </a:extLst>
        </xdr:cNvPr>
        <xdr:cNvSpPr/>
      </xdr:nvSpPr>
      <xdr:spPr>
        <a:xfrm rot="10800000">
          <a:off x="4643923" y="767830"/>
          <a:ext cx="87474" cy="221602"/>
        </a:xfrm>
        <a:prstGeom prst="rect">
          <a:avLst/>
        </a:prstGeom>
        <a:solidFill>
          <a:srgbClr val="CAE8E0"/>
        </a:solidFill>
        <a:ln w="5755" cap="flat">
          <a:noFill/>
          <a:prstDash val="solid"/>
          <a:miter/>
        </a:ln>
      </xdr:spPr>
    </xdr:sp>
    <xdr:clientData/>
  </xdr:twoCellAnchor>
  <xdr:twoCellAnchor>
    <xdr:from>
      <xdr:col>7</xdr:col>
      <xdr:colOff>276030</xdr:colOff>
      <xdr:row>4</xdr:row>
      <xdr:rowOff>126351</xdr:rowOff>
    </xdr:from>
    <xdr:to>
      <xdr:col>7</xdr:col>
      <xdr:colOff>363504</xdr:colOff>
      <xdr:row>5</xdr:row>
      <xdr:rowOff>56371</xdr:rowOff>
    </xdr:to>
    <xdr:sp macro="" textlink="">
      <xdr:nvSpPr>
        <xdr:cNvPr id="31" name="Rectangle 30">
          <a:extLst>
            <a:ext uri="{FF2B5EF4-FFF2-40B4-BE49-F238E27FC236}">
              <a16:creationId xmlns:a16="http://schemas.microsoft.com/office/drawing/2014/main" id="{F6E5C087-D2E7-C584-3A0A-9EC1863628D5}"/>
            </a:ext>
          </a:extLst>
        </xdr:cNvPr>
        <xdr:cNvSpPr/>
      </xdr:nvSpPr>
      <xdr:spPr>
        <a:xfrm rot="10800000">
          <a:off x="4521459" y="872800"/>
          <a:ext cx="87474" cy="116632"/>
        </a:xfrm>
        <a:prstGeom prst="rect">
          <a:avLst/>
        </a:prstGeom>
        <a:solidFill>
          <a:srgbClr val="CAE8E0"/>
        </a:solidFill>
        <a:ln w="5755" cap="flat">
          <a:noFill/>
          <a:prstDash val="solid"/>
          <a:miter/>
        </a:ln>
      </xdr:spPr>
    </xdr:sp>
    <xdr:clientData/>
  </xdr:twoCellAnchor>
  <xdr:twoCellAnchor>
    <xdr:from>
      <xdr:col>7</xdr:col>
      <xdr:colOff>273639</xdr:colOff>
      <xdr:row>3</xdr:row>
      <xdr:rowOff>91361</xdr:rowOff>
    </xdr:from>
    <xdr:to>
      <xdr:col>7</xdr:col>
      <xdr:colOff>462642</xdr:colOff>
      <xdr:row>4</xdr:row>
      <xdr:rowOff>93752</xdr:rowOff>
    </xdr:to>
    <xdr:sp macro="" textlink="">
      <xdr:nvSpPr>
        <xdr:cNvPr id="33" name="Freeform: Shape 32">
          <a:extLst>
            <a:ext uri="{FF2B5EF4-FFF2-40B4-BE49-F238E27FC236}">
              <a16:creationId xmlns:a16="http://schemas.microsoft.com/office/drawing/2014/main" id="{8A616B28-30D9-FF4D-83F0-ADDE19A6FCB9}"/>
            </a:ext>
          </a:extLst>
        </xdr:cNvPr>
        <xdr:cNvSpPr/>
      </xdr:nvSpPr>
      <xdr:spPr>
        <a:xfrm>
          <a:off x="4519068" y="651198"/>
          <a:ext cx="189003" cy="189003"/>
        </a:xfrm>
        <a:custGeom>
          <a:avLst/>
          <a:gdLst>
            <a:gd name="csX0" fmla="*/ 189003 w 189003"/>
            <a:gd name="csY0" fmla="*/ 80127 h 189003"/>
            <a:gd name="csX1" fmla="*/ 189003 w 189003"/>
            <a:gd name="csY1" fmla="*/ 0 h 189003"/>
            <a:gd name="csX2" fmla="*/ 108877 w 189003"/>
            <a:gd name="csY2" fmla="*/ 0 h 189003"/>
            <a:gd name="csX3" fmla="*/ 140717 w 189003"/>
            <a:gd name="csY3" fmla="*/ 31841 h 189003"/>
            <a:gd name="csX4" fmla="*/ 0 w 189003"/>
            <a:gd name="csY4" fmla="*/ 172558 h 189003"/>
            <a:gd name="csX5" fmla="*/ 16445 w 189003"/>
            <a:gd name="csY5" fmla="*/ 189003 h 189003"/>
            <a:gd name="csX6" fmla="*/ 157163 w 189003"/>
            <a:gd name="csY6" fmla="*/ 48344 h 189003"/>
            <a:gd name="csX7" fmla="*/ 189003 w 189003"/>
            <a:gd name="csY7" fmla="*/ 80127 h 1890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89003" h="189003">
              <a:moveTo>
                <a:pt x="189003" y="80127"/>
              </a:moveTo>
              <a:lnTo>
                <a:pt x="189003" y="0"/>
              </a:lnTo>
              <a:lnTo>
                <a:pt x="108877" y="0"/>
              </a:lnTo>
              <a:lnTo>
                <a:pt x="140717" y="31841"/>
              </a:lnTo>
              <a:lnTo>
                <a:pt x="0" y="172558"/>
              </a:lnTo>
              <a:lnTo>
                <a:pt x="16445" y="189003"/>
              </a:lnTo>
              <a:lnTo>
                <a:pt x="157163" y="48344"/>
              </a:lnTo>
              <a:lnTo>
                <a:pt x="189003" y="80127"/>
              </a:lnTo>
              <a:close/>
            </a:path>
          </a:pathLst>
        </a:custGeom>
        <a:solidFill>
          <a:srgbClr val="CAE8E0"/>
        </a:solidFill>
        <a:ln w="5755" cap="flat">
          <a:noFill/>
          <a:prstDash val="solid"/>
          <a:miter/>
        </a:ln>
      </xdr:spPr>
    </xdr:sp>
    <xdr:clientData/>
  </xdr:twoCellAnchor>
  <xdr:oneCellAnchor>
    <xdr:from>
      <xdr:col>11</xdr:col>
      <xdr:colOff>467470</xdr:colOff>
      <xdr:row>13</xdr:row>
      <xdr:rowOff>133787</xdr:rowOff>
    </xdr:from>
    <xdr:ext cx="184731" cy="374141"/>
    <xdr:sp macro="" textlink="">
      <xdr:nvSpPr>
        <xdr:cNvPr id="39" name="Rectangle 38">
          <a:extLst>
            <a:ext uri="{FF2B5EF4-FFF2-40B4-BE49-F238E27FC236}">
              <a16:creationId xmlns:a16="http://schemas.microsoft.com/office/drawing/2014/main" id="{808A7E86-689D-E85B-B022-12001421EB4C}"/>
            </a:ext>
          </a:extLst>
        </xdr:cNvPr>
        <xdr:cNvSpPr/>
      </xdr:nvSpPr>
      <xdr:spPr>
        <a:xfrm>
          <a:off x="7138858" y="2559746"/>
          <a:ext cx="184731" cy="374141"/>
        </a:xfrm>
        <a:prstGeom prst="rect">
          <a:avLst/>
        </a:prstGeom>
        <a:noFill/>
      </xdr:spPr>
      <xdr:txBody>
        <a:bodyPr wrap="none" lIns="91440" tIns="45720" rIns="91440" bIns="45720">
          <a:spAutoFit/>
        </a:bodyPr>
        <a:lstStyle/>
        <a:p>
          <a:pPr algn="ct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128236</xdr:colOff>
      <xdr:row>3</xdr:row>
      <xdr:rowOff>32706</xdr:rowOff>
    </xdr:from>
    <xdr:ext cx="964688" cy="295850"/>
    <xdr:sp macro="" textlink="">
      <xdr:nvSpPr>
        <xdr:cNvPr id="42" name="Rectangle 41">
          <a:extLst>
            <a:ext uri="{FF2B5EF4-FFF2-40B4-BE49-F238E27FC236}">
              <a16:creationId xmlns:a16="http://schemas.microsoft.com/office/drawing/2014/main" id="{BCACA99A-C779-D3C6-F47C-E354FD01BFEB}"/>
            </a:ext>
          </a:extLst>
        </xdr:cNvPr>
        <xdr:cNvSpPr/>
      </xdr:nvSpPr>
      <xdr:spPr>
        <a:xfrm>
          <a:off x="4980154" y="592543"/>
          <a:ext cx="964688" cy="295850"/>
        </a:xfrm>
        <a:prstGeom prst="rect">
          <a:avLst/>
        </a:prstGeom>
        <a:noFill/>
      </xdr:spPr>
      <xdr:txBody>
        <a:bodyPr wrap="none" lIns="91440" tIns="45720" rIns="91440" bIns="45720">
          <a:spAutoFit/>
        </a:bodyPr>
        <a:lstStyle/>
        <a:p>
          <a:pPr algn="ctr"/>
          <a:r>
            <a:rPr lang="en-US" sz="1300" b="1" cap="none" spc="0">
              <a:ln w="0"/>
              <a:solidFill>
                <a:schemeClr val="bg1"/>
              </a:solidFill>
              <a:effectLst>
                <a:outerShdw blurRad="38100" dist="19050" dir="2700000" algn="tl" rotWithShape="0">
                  <a:schemeClr val="dk1">
                    <a:alpha val="40000"/>
                  </a:schemeClr>
                </a:outerShdw>
              </a:effectLst>
            </a:rPr>
            <a:t>Total</a:t>
          </a:r>
          <a:r>
            <a:rPr lang="en-US" sz="1300" b="1" cap="none" spc="0" baseline="0">
              <a:ln w="0"/>
              <a:solidFill>
                <a:schemeClr val="tx1"/>
              </a:solidFill>
              <a:effectLst>
                <a:outerShdw blurRad="38100" dist="19050" dir="2700000" algn="tl" rotWithShape="0">
                  <a:schemeClr val="dk1">
                    <a:alpha val="40000"/>
                  </a:schemeClr>
                </a:outerShdw>
              </a:effectLst>
            </a:rPr>
            <a:t> </a:t>
          </a:r>
          <a:r>
            <a:rPr lang="en-US" sz="1300" b="1" cap="none" spc="0" baseline="0">
              <a:ln w="0"/>
              <a:solidFill>
                <a:schemeClr val="bg1"/>
              </a:solidFill>
              <a:effectLst>
                <a:outerShdw blurRad="38100" dist="19050" dir="2700000" algn="tl" rotWithShape="0">
                  <a:schemeClr val="dk1">
                    <a:alpha val="40000"/>
                  </a:schemeClr>
                </a:outerShdw>
              </a:effectLst>
            </a:rPr>
            <a:t>Profit</a:t>
          </a:r>
          <a:endParaRPr lang="en-US" sz="13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15</xdr:col>
      <xdr:colOff>132184</xdr:colOff>
      <xdr:row>3</xdr:row>
      <xdr:rowOff>15551</xdr:rowOff>
    </xdr:from>
    <xdr:to>
      <xdr:col>16</xdr:col>
      <xdr:colOff>46653</xdr:colOff>
      <xdr:row>5</xdr:row>
      <xdr:rowOff>163286</xdr:rowOff>
    </xdr:to>
    <xdr:pic>
      <xdr:nvPicPr>
        <xdr:cNvPr id="4" name="Graphic 3" descr="User with solid fill">
          <a:extLst>
            <a:ext uri="{FF2B5EF4-FFF2-40B4-BE49-F238E27FC236}">
              <a16:creationId xmlns:a16="http://schemas.microsoft.com/office/drawing/2014/main" id="{6FA3BBC9-45F7-7389-5F20-7656E5A73C7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229531" y="575388"/>
          <a:ext cx="520959" cy="520959"/>
        </a:xfrm>
        <a:prstGeom prst="rect">
          <a:avLst/>
        </a:prstGeom>
      </xdr:spPr>
    </xdr:pic>
    <xdr:clientData/>
  </xdr:twoCellAnchor>
  <xdr:oneCellAnchor>
    <xdr:from>
      <xdr:col>16</xdr:col>
      <xdr:colOff>20264</xdr:colOff>
      <xdr:row>3</xdr:row>
      <xdr:rowOff>40481</xdr:rowOff>
    </xdr:from>
    <xdr:ext cx="1312411" cy="295850"/>
    <xdr:sp macro="" textlink="">
      <xdr:nvSpPr>
        <xdr:cNvPr id="7" name="Rectangle 6">
          <a:extLst>
            <a:ext uri="{FF2B5EF4-FFF2-40B4-BE49-F238E27FC236}">
              <a16:creationId xmlns:a16="http://schemas.microsoft.com/office/drawing/2014/main" id="{C142B9D3-2E20-E66A-21DD-65566B8E8BAE}"/>
            </a:ext>
          </a:extLst>
        </xdr:cNvPr>
        <xdr:cNvSpPr/>
      </xdr:nvSpPr>
      <xdr:spPr>
        <a:xfrm>
          <a:off x="9724101" y="600318"/>
          <a:ext cx="1312411" cy="295850"/>
        </a:xfrm>
        <a:prstGeom prst="rect">
          <a:avLst/>
        </a:prstGeom>
        <a:noFill/>
      </xdr:spPr>
      <xdr:txBody>
        <a:bodyPr wrap="none" lIns="91440" tIns="45720" rIns="91440" bIns="45720">
          <a:spAutoFit/>
        </a:bodyPr>
        <a:lstStyle/>
        <a:p>
          <a:pPr algn="ctr"/>
          <a:r>
            <a:rPr lang="en-US" sz="1300" b="1" cap="none" spc="0">
              <a:ln w="0"/>
              <a:solidFill>
                <a:schemeClr val="bg1"/>
              </a:solidFill>
              <a:effectLst>
                <a:outerShdw blurRad="38100" dist="19050" dir="2700000" algn="tl" rotWithShape="0">
                  <a:schemeClr val="dk1">
                    <a:alpha val="40000"/>
                  </a:schemeClr>
                </a:outerShdw>
              </a:effectLst>
            </a:rPr>
            <a:t>Total</a:t>
          </a:r>
          <a:r>
            <a:rPr lang="en-US" sz="1300" b="1" cap="none" spc="0" baseline="0">
              <a:ln w="0"/>
              <a:solidFill>
                <a:schemeClr val="bg1"/>
              </a:solidFill>
              <a:effectLst>
                <a:outerShdw blurRad="38100" dist="19050" dir="2700000" algn="tl" rotWithShape="0">
                  <a:schemeClr val="dk1">
                    <a:alpha val="40000"/>
                  </a:schemeClr>
                </a:outerShdw>
              </a:effectLst>
            </a:rPr>
            <a:t> Customers</a:t>
          </a:r>
          <a:endParaRPr lang="en-IN" sz="13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12</xdr:col>
      <xdr:colOff>87730</xdr:colOff>
      <xdr:row>3</xdr:row>
      <xdr:rowOff>52922</xdr:rowOff>
    </xdr:from>
    <xdr:ext cx="1186543" cy="295850"/>
    <xdr:sp macro="" textlink="">
      <xdr:nvSpPr>
        <xdr:cNvPr id="8" name="Rectangle 7">
          <a:extLst>
            <a:ext uri="{FF2B5EF4-FFF2-40B4-BE49-F238E27FC236}">
              <a16:creationId xmlns:a16="http://schemas.microsoft.com/office/drawing/2014/main" id="{0B028D5F-C673-4C07-89FB-CC27327D2A8A}"/>
            </a:ext>
          </a:extLst>
        </xdr:cNvPr>
        <xdr:cNvSpPr/>
      </xdr:nvSpPr>
      <xdr:spPr>
        <a:xfrm>
          <a:off x="7365608" y="612759"/>
          <a:ext cx="1186543" cy="295850"/>
        </a:xfrm>
        <a:prstGeom prst="rect">
          <a:avLst/>
        </a:prstGeom>
        <a:noFill/>
      </xdr:spPr>
      <xdr:txBody>
        <a:bodyPr wrap="none" lIns="91440" tIns="45720" rIns="91440" bIns="45720">
          <a:spAutoFit/>
        </a:bodyPr>
        <a:lstStyle/>
        <a:p>
          <a:pPr algn="ctr"/>
          <a:r>
            <a:rPr lang="en-US" sz="1300" b="1" cap="none" spc="0">
              <a:ln w="0"/>
              <a:solidFill>
                <a:schemeClr val="bg1"/>
              </a:solidFill>
              <a:effectLst>
                <a:outerShdw blurRad="38100" dist="19050" dir="2700000" algn="tl" rotWithShape="0">
                  <a:schemeClr val="dk1">
                    <a:alpha val="40000"/>
                  </a:schemeClr>
                </a:outerShdw>
              </a:effectLst>
            </a:rPr>
            <a:t>Total</a:t>
          </a:r>
          <a:r>
            <a:rPr lang="en-US" sz="1300" b="1" cap="none" spc="0" baseline="0">
              <a:ln w="0"/>
              <a:solidFill>
                <a:schemeClr val="bg1"/>
              </a:solidFill>
              <a:effectLst>
                <a:outerShdw blurRad="38100" dist="19050" dir="2700000" algn="tl" rotWithShape="0">
                  <a:schemeClr val="dk1">
                    <a:alpha val="40000"/>
                  </a:schemeClr>
                </a:outerShdw>
              </a:effectLst>
            </a:rPr>
            <a:t> Quantity</a:t>
          </a:r>
        </a:p>
      </xdr:txBody>
    </xdr:sp>
    <xdr:clientData/>
  </xdr:oneCellAnchor>
  <xdr:oneCellAnchor>
    <xdr:from>
      <xdr:col>7</xdr:col>
      <xdr:colOff>357923</xdr:colOff>
      <xdr:row>0</xdr:row>
      <xdr:rowOff>48256</xdr:rowOff>
    </xdr:from>
    <xdr:ext cx="4509311" cy="405432"/>
    <xdr:sp macro="" textlink="">
      <xdr:nvSpPr>
        <xdr:cNvPr id="46" name="Rectangle 45">
          <a:extLst>
            <a:ext uri="{FF2B5EF4-FFF2-40B4-BE49-F238E27FC236}">
              <a16:creationId xmlns:a16="http://schemas.microsoft.com/office/drawing/2014/main" id="{CF6F3FBA-4BC4-FE2D-21CC-FA23B0EE7615}"/>
            </a:ext>
          </a:extLst>
        </xdr:cNvPr>
        <xdr:cNvSpPr/>
      </xdr:nvSpPr>
      <xdr:spPr>
        <a:xfrm>
          <a:off x="4603352" y="48256"/>
          <a:ext cx="4509311"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SALES</a:t>
          </a:r>
          <a:r>
            <a:rPr lang="en-US" sz="2000" b="0" cap="none" spc="0" baseline="0">
              <a:ln w="0"/>
              <a:solidFill>
                <a:schemeClr val="bg1"/>
              </a:solidFill>
              <a:effectLst>
                <a:outerShdw blurRad="38100" dist="19050" dir="2700000" algn="tl" rotWithShape="0">
                  <a:schemeClr val="dk1">
                    <a:alpha val="40000"/>
                  </a:schemeClr>
                </a:outerShdw>
              </a:effectLst>
            </a:rPr>
            <a:t> PERFORMANCE DESHBOARD 2026</a:t>
          </a:r>
          <a:endParaRPr lang="en-US" sz="2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9</xdr:col>
      <xdr:colOff>944</xdr:colOff>
      <xdr:row>33</xdr:row>
      <xdr:rowOff>172663</xdr:rowOff>
    </xdr:from>
    <xdr:ext cx="184730" cy="374141"/>
    <xdr:sp macro="" textlink="">
      <xdr:nvSpPr>
        <xdr:cNvPr id="9" name="Rectangle 8">
          <a:extLst>
            <a:ext uri="{FF2B5EF4-FFF2-40B4-BE49-F238E27FC236}">
              <a16:creationId xmlns:a16="http://schemas.microsoft.com/office/drawing/2014/main" id="{C6BAD2FB-E54F-AA8B-C643-9BDF6C6B8D2E}"/>
            </a:ext>
          </a:extLst>
        </xdr:cNvPr>
        <xdr:cNvSpPr/>
      </xdr:nvSpPr>
      <xdr:spPr>
        <a:xfrm>
          <a:off x="5459352" y="6330867"/>
          <a:ext cx="184730" cy="374141"/>
        </a:xfrm>
        <a:prstGeom prst="rect">
          <a:avLst/>
        </a:prstGeom>
        <a:noFill/>
      </xdr:spPr>
      <xdr:txBody>
        <a:bodyPr wrap="none" lIns="91440" tIns="45720" rIns="91440" bIns="45720">
          <a:spAutoFit/>
        </a:bodyPr>
        <a:lstStyle/>
        <a:p>
          <a:pPr algn="ct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4</xdr:col>
      <xdr:colOff>104127</xdr:colOff>
      <xdr:row>4</xdr:row>
      <xdr:rowOff>17154</xdr:rowOff>
    </xdr:from>
    <xdr:ext cx="1020279" cy="405432"/>
    <xdr:sp macro="" textlink="">
      <xdr:nvSpPr>
        <xdr:cNvPr id="3" name="Rectangle 2">
          <a:extLst>
            <a:ext uri="{FF2B5EF4-FFF2-40B4-BE49-F238E27FC236}">
              <a16:creationId xmlns:a16="http://schemas.microsoft.com/office/drawing/2014/main" id="{5B874B82-D185-9BD2-51BF-5B8C5BF1571B}"/>
            </a:ext>
          </a:extLst>
        </xdr:cNvPr>
        <xdr:cNvSpPr/>
      </xdr:nvSpPr>
      <xdr:spPr>
        <a:xfrm>
          <a:off x="2530086" y="763603"/>
          <a:ext cx="1020279" cy="405432"/>
        </a:xfrm>
        <a:prstGeom prst="rect">
          <a:avLst/>
        </a:prstGeom>
        <a:noFill/>
      </xdr:spPr>
      <xdr:txBody>
        <a:bodyPr wrap="none" lIns="91440" tIns="45720" rIns="91440" bIns="45720">
          <a:spAutoFit/>
        </a:bodyPr>
        <a:lstStyle/>
        <a:p>
          <a:pPr algn="ctr"/>
          <a:r>
            <a:rPr lang="en-IN" sz="1200" b="1" i="0" u="none" strike="noStrike">
              <a:solidFill>
                <a:schemeClr val="bg1"/>
              </a:solidFill>
              <a:effectLst/>
              <a:latin typeface="+mn-lt"/>
              <a:ea typeface="+mn-ea"/>
              <a:cs typeface="+mn-cs"/>
            </a:rPr>
            <a:t>$ 195217.76</a:t>
          </a:r>
          <a:r>
            <a:rPr lang="en-IN" sz="2000">
              <a:effectLst/>
            </a:rPr>
            <a:t> </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260092</xdr:colOff>
      <xdr:row>1</xdr:row>
      <xdr:rowOff>46653</xdr:rowOff>
    </xdr:from>
    <xdr:ext cx="879408" cy="783722"/>
    <xdr:sp macro="" textlink="">
      <xdr:nvSpPr>
        <xdr:cNvPr id="18" name="Rectangle 17">
          <a:extLst>
            <a:ext uri="{FF2B5EF4-FFF2-40B4-BE49-F238E27FC236}">
              <a16:creationId xmlns:a16="http://schemas.microsoft.com/office/drawing/2014/main" id="{3E43EB3E-B676-95CF-D66A-0A5FC3823D06}"/>
            </a:ext>
          </a:extLst>
        </xdr:cNvPr>
        <xdr:cNvSpPr/>
      </xdr:nvSpPr>
      <xdr:spPr>
        <a:xfrm>
          <a:off x="5112010" y="233265"/>
          <a:ext cx="879408" cy="783722"/>
        </a:xfrm>
        <a:prstGeom prst="rect">
          <a:avLst/>
        </a:prstGeom>
        <a:noFill/>
      </xdr:spPr>
      <xdr:txBody>
        <a:bodyPr wrap="none" lIns="91440" tIns="45720" rIns="91440" bIns="45720">
          <a:noAutofit/>
        </a:bodyPr>
        <a:lstStyle/>
        <a:p>
          <a:pPr algn="ctr"/>
          <a:r>
            <a:rPr lang="en-IN" sz="1200" b="1" i="0" u="none" strike="noStrike">
              <a:solidFill>
                <a:schemeClr val="bg1"/>
              </a:solidFill>
              <a:effectLst/>
              <a:latin typeface="+mn-lt"/>
              <a:ea typeface="+mn-ea"/>
              <a:cs typeface="+mn-cs"/>
            </a:rPr>
            <a:t>$ 68287.01</a:t>
          </a:r>
          <a:r>
            <a:rPr lang="en-IN" sz="6000">
              <a:solidFill>
                <a:schemeClr val="bg1"/>
              </a:solidFill>
              <a:effectLst/>
            </a:rPr>
            <a:t> </a:t>
          </a:r>
          <a:endParaRPr lang="en-IN" sz="6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12</xdr:col>
      <xdr:colOff>28511</xdr:colOff>
      <xdr:row>1</xdr:row>
      <xdr:rowOff>40480</xdr:rowOff>
    </xdr:from>
    <xdr:ext cx="865673" cy="1031629"/>
    <xdr:sp macro="" textlink="">
      <xdr:nvSpPr>
        <xdr:cNvPr id="32" name="Rectangle 31">
          <a:extLst>
            <a:ext uri="{FF2B5EF4-FFF2-40B4-BE49-F238E27FC236}">
              <a16:creationId xmlns:a16="http://schemas.microsoft.com/office/drawing/2014/main" id="{241C90E7-FFD8-4D9B-CBDE-4F6F05E04B30}"/>
            </a:ext>
          </a:extLst>
        </xdr:cNvPr>
        <xdr:cNvSpPr/>
      </xdr:nvSpPr>
      <xdr:spPr>
        <a:xfrm>
          <a:off x="7306389" y="227092"/>
          <a:ext cx="865673" cy="1031629"/>
        </a:xfrm>
        <a:prstGeom prst="rect">
          <a:avLst/>
        </a:prstGeom>
        <a:noFill/>
      </xdr:spPr>
      <xdr:txBody>
        <a:bodyPr wrap="square" lIns="91440" tIns="45720" rIns="91440" bIns="45720">
          <a:spAutoFit/>
        </a:bodyPr>
        <a:lstStyle/>
        <a:p>
          <a:pPr algn="ctr"/>
          <a:r>
            <a:rPr lang="en-IN" sz="1200" b="1" i="0" u="none" strike="noStrike">
              <a:solidFill>
                <a:schemeClr val="bg1"/>
              </a:solidFill>
              <a:effectLst/>
              <a:latin typeface="+mn-lt"/>
              <a:ea typeface="+mn-ea"/>
              <a:cs typeface="+mn-cs"/>
            </a:rPr>
            <a:t>1949</a:t>
          </a:r>
          <a:r>
            <a:rPr lang="en-IN" sz="6000">
              <a:solidFill>
                <a:schemeClr val="bg1"/>
              </a:solidFill>
              <a:effectLst/>
            </a:rPr>
            <a:t> </a:t>
          </a:r>
          <a:endParaRPr lang="en-US" sz="6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16</xdr:col>
      <xdr:colOff>385451</xdr:colOff>
      <xdr:row>4</xdr:row>
      <xdr:rowOff>63806</xdr:rowOff>
    </xdr:from>
    <xdr:ext cx="457626" cy="311496"/>
    <xdr:sp macro="" textlink="">
      <xdr:nvSpPr>
        <xdr:cNvPr id="34" name="Rectangle 33">
          <a:extLst>
            <a:ext uri="{FF2B5EF4-FFF2-40B4-BE49-F238E27FC236}">
              <a16:creationId xmlns:a16="http://schemas.microsoft.com/office/drawing/2014/main" id="{E9F9E74E-39DE-702D-DD77-ABE23C79094C}"/>
            </a:ext>
          </a:extLst>
        </xdr:cNvPr>
        <xdr:cNvSpPr/>
      </xdr:nvSpPr>
      <xdr:spPr>
        <a:xfrm>
          <a:off x="10089288" y="810255"/>
          <a:ext cx="457626" cy="311496"/>
        </a:xfrm>
        <a:prstGeom prst="rect">
          <a:avLst/>
        </a:prstGeom>
        <a:noFill/>
      </xdr:spPr>
      <xdr:txBody>
        <a:bodyPr wrap="none" lIns="91440" tIns="45720" rIns="91440" bIns="45720">
          <a:spAutoFit/>
        </a:bodyPr>
        <a:lstStyle/>
        <a:p>
          <a:pPr algn="ctr"/>
          <a:r>
            <a:rPr lang="en-US" sz="1400" b="0" cap="none" spc="0">
              <a:ln w="0"/>
              <a:solidFill>
                <a:schemeClr val="bg1"/>
              </a:solidFill>
              <a:effectLst>
                <a:outerShdw blurRad="38100" dist="19050" dir="2700000" algn="tl" rotWithShape="0">
                  <a:schemeClr val="dk1">
                    <a:alpha val="40000"/>
                  </a:schemeClr>
                </a:outerShdw>
              </a:effectLst>
            </a:rPr>
            <a:t>200</a:t>
          </a:r>
        </a:p>
      </xdr:txBody>
    </xdr:sp>
    <xdr:clientData/>
  </xdr:oneCellAnchor>
  <xdr:twoCellAnchor editAs="oneCell">
    <xdr:from>
      <xdr:col>11</xdr:col>
      <xdr:colOff>132185</xdr:colOff>
      <xdr:row>3</xdr:row>
      <xdr:rowOff>54430</xdr:rowOff>
    </xdr:from>
    <xdr:to>
      <xdr:col>12</xdr:col>
      <xdr:colOff>139960</xdr:colOff>
      <xdr:row>6</xdr:row>
      <xdr:rowOff>50772</xdr:rowOff>
    </xdr:to>
    <xdr:pic>
      <xdr:nvPicPr>
        <xdr:cNvPr id="37" name="Graphic 36" descr="Envelope with solid fill">
          <a:extLst>
            <a:ext uri="{FF2B5EF4-FFF2-40B4-BE49-F238E27FC236}">
              <a16:creationId xmlns:a16="http://schemas.microsoft.com/office/drawing/2014/main" id="{8FB99211-A289-94C8-E81B-769412C5093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3573" y="614267"/>
          <a:ext cx="614265" cy="5561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66.564789699078" createdVersion="8" refreshedVersion="8" minRefreshableVersion="3" recordCount="200" xr:uid="{4A99BCAB-4359-4E3D-A235-95D0C681BFE7}">
  <cacheSource type="worksheet">
    <worksheetSource name="Table1"/>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887105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x v="0"/>
    <n v="4"/>
    <n v="0.2"/>
    <x v="0"/>
    <x v="0"/>
  </r>
  <r>
    <s v="CUST012"/>
    <s v="Robert Anderson"/>
    <x v="0"/>
    <x v="1"/>
    <x v="1"/>
    <n v="3"/>
    <n v="0.2"/>
    <x v="1"/>
    <x v="1"/>
  </r>
  <r>
    <s v="CUST017"/>
    <s v="James Taylor"/>
    <x v="1"/>
    <x v="0"/>
    <x v="2"/>
    <n v="17"/>
    <n v="0"/>
    <x v="2"/>
    <x v="2"/>
  </r>
  <r>
    <s v="CUST005"/>
    <s v="Robert Anderson"/>
    <x v="2"/>
    <x v="2"/>
    <x v="3"/>
    <n v="4"/>
    <n v="0.15"/>
    <x v="2"/>
    <x v="3"/>
  </r>
  <r>
    <s v="CUST030"/>
    <s v="James Wilson"/>
    <x v="3"/>
    <x v="0"/>
    <x v="4"/>
    <n v="12"/>
    <n v="0.2"/>
    <x v="3"/>
    <x v="4"/>
  </r>
  <r>
    <s v="CUST007"/>
    <s v="Michael Anderson"/>
    <x v="3"/>
    <x v="3"/>
    <x v="5"/>
    <n v="8"/>
    <n v="0.1"/>
    <x v="4"/>
    <x v="5"/>
  </r>
  <r>
    <s v="CUST001"/>
    <s v="Linda Wilson"/>
    <x v="0"/>
    <x v="2"/>
    <x v="6"/>
    <n v="12"/>
    <n v="0.05"/>
    <x v="4"/>
    <x v="6"/>
  </r>
  <r>
    <s v="CUST026"/>
    <s v="Mary Davis"/>
    <x v="1"/>
    <x v="3"/>
    <x v="7"/>
    <n v="6"/>
    <n v="0.2"/>
    <x v="5"/>
    <x v="7"/>
  </r>
  <r>
    <s v="CUST009"/>
    <s v="Linda Jackson"/>
    <x v="4"/>
    <x v="0"/>
    <x v="8"/>
    <n v="11"/>
    <n v="0.05"/>
    <x v="5"/>
    <x v="8"/>
  </r>
  <r>
    <s v="CUST010"/>
    <s v="David Thomas"/>
    <x v="4"/>
    <x v="1"/>
    <x v="9"/>
    <n v="2"/>
    <n v="0.05"/>
    <x v="5"/>
    <x v="9"/>
  </r>
  <r>
    <s v="CUST014"/>
    <s v="Emma Davis"/>
    <x v="0"/>
    <x v="4"/>
    <x v="10"/>
    <n v="6"/>
    <n v="0.05"/>
    <x v="6"/>
    <x v="10"/>
  </r>
  <r>
    <s v="CUST014"/>
    <s v="David Thomas"/>
    <x v="4"/>
    <x v="0"/>
    <x v="11"/>
    <n v="14"/>
    <n v="0.15"/>
    <x v="7"/>
    <x v="11"/>
  </r>
  <r>
    <s v="CUST007"/>
    <s v="Michael Anderson"/>
    <x v="4"/>
    <x v="0"/>
    <x v="12"/>
    <n v="14"/>
    <n v="0.05"/>
    <x v="8"/>
    <x v="12"/>
  </r>
  <r>
    <s v="CUST023"/>
    <s v="Robert Anderson"/>
    <x v="0"/>
    <x v="3"/>
    <x v="13"/>
    <n v="7"/>
    <n v="0.05"/>
    <x v="8"/>
    <x v="13"/>
  </r>
  <r>
    <s v="CUST029"/>
    <s v="David Smith"/>
    <x v="3"/>
    <x v="3"/>
    <x v="14"/>
    <n v="15"/>
    <n v="0.15"/>
    <x v="9"/>
    <x v="14"/>
  </r>
  <r>
    <s v="CUST005"/>
    <s v="Sarah Anderson"/>
    <x v="2"/>
    <x v="2"/>
    <x v="15"/>
    <n v="14"/>
    <n v="0.2"/>
    <x v="10"/>
    <x v="15"/>
  </r>
  <r>
    <s v="CUST008"/>
    <s v="Robert Anderson"/>
    <x v="2"/>
    <x v="0"/>
    <x v="16"/>
    <n v="10"/>
    <n v="0.15"/>
    <x v="11"/>
    <x v="16"/>
  </r>
  <r>
    <s v="CUST001"/>
    <s v="Lisa Thomas"/>
    <x v="0"/>
    <x v="0"/>
    <x v="17"/>
    <n v="4"/>
    <n v="0.2"/>
    <x v="11"/>
    <x v="17"/>
  </r>
  <r>
    <s v="CUST006"/>
    <s v="Mary Jackson"/>
    <x v="0"/>
    <x v="0"/>
    <x v="18"/>
    <n v="13"/>
    <n v="0.2"/>
    <x v="12"/>
    <x v="18"/>
  </r>
  <r>
    <s v="CUST026"/>
    <s v="Mary Davis"/>
    <x v="4"/>
    <x v="2"/>
    <x v="19"/>
    <n v="4"/>
    <n v="0"/>
    <x v="13"/>
    <x v="19"/>
  </r>
  <r>
    <s v="CUST007"/>
    <s v="Lisa Davis"/>
    <x v="2"/>
    <x v="1"/>
    <x v="20"/>
    <n v="11"/>
    <n v="0"/>
    <x v="14"/>
    <x v="20"/>
  </r>
  <r>
    <s v="CUST022"/>
    <s v="Robert Anderson"/>
    <x v="3"/>
    <x v="2"/>
    <x v="21"/>
    <n v="14"/>
    <n v="0.15"/>
    <x v="15"/>
    <x v="21"/>
  </r>
  <r>
    <s v="CUST019"/>
    <s v="Mary Davis"/>
    <x v="0"/>
    <x v="0"/>
    <x v="22"/>
    <n v="9"/>
    <n v="0"/>
    <x v="15"/>
    <x v="22"/>
  </r>
  <r>
    <s v="CUST023"/>
    <s v="Mary Davis"/>
    <x v="4"/>
    <x v="2"/>
    <x v="23"/>
    <n v="6"/>
    <n v="0"/>
    <x v="15"/>
    <x v="23"/>
  </r>
  <r>
    <s v="CUST012"/>
    <s v="Mary Davis"/>
    <x v="4"/>
    <x v="4"/>
    <x v="24"/>
    <n v="8"/>
    <n v="0.1"/>
    <x v="16"/>
    <x v="24"/>
  </r>
  <r>
    <s v="CUST010"/>
    <s v="Linda Brown"/>
    <x v="2"/>
    <x v="2"/>
    <x v="25"/>
    <n v="18"/>
    <n v="0"/>
    <x v="16"/>
    <x v="25"/>
  </r>
  <r>
    <s v="CUST030"/>
    <s v="John Brown"/>
    <x v="3"/>
    <x v="3"/>
    <x v="26"/>
    <n v="17"/>
    <n v="0"/>
    <x v="17"/>
    <x v="26"/>
  </r>
  <r>
    <s v="CUST007"/>
    <s v="Robert Anderson"/>
    <x v="4"/>
    <x v="0"/>
    <x v="27"/>
    <n v="2"/>
    <n v="0.05"/>
    <x v="18"/>
    <x v="27"/>
  </r>
  <r>
    <s v="CUST028"/>
    <s v="Linda Taylor"/>
    <x v="1"/>
    <x v="4"/>
    <x v="28"/>
    <n v="19"/>
    <n v="0.1"/>
    <x v="19"/>
    <x v="28"/>
  </r>
  <r>
    <s v="CUST028"/>
    <s v="James Wilson"/>
    <x v="2"/>
    <x v="2"/>
    <x v="29"/>
    <n v="3"/>
    <n v="0.2"/>
    <x v="19"/>
    <x v="29"/>
  </r>
  <r>
    <s v="CUST025"/>
    <s v="David Brown"/>
    <x v="3"/>
    <x v="2"/>
    <x v="30"/>
    <n v="5"/>
    <n v="0.1"/>
    <x v="20"/>
    <x v="30"/>
  </r>
  <r>
    <s v="CUST022"/>
    <s v="David Davis"/>
    <x v="4"/>
    <x v="0"/>
    <x v="31"/>
    <n v="18"/>
    <n v="0.05"/>
    <x v="21"/>
    <x v="31"/>
  </r>
  <r>
    <s v="CUST001"/>
    <s v="Mary Jackson"/>
    <x v="0"/>
    <x v="3"/>
    <x v="32"/>
    <n v="5"/>
    <n v="0.15"/>
    <x v="21"/>
    <x v="32"/>
  </r>
  <r>
    <s v="CUST021"/>
    <s v="Sarah Anderson"/>
    <x v="2"/>
    <x v="2"/>
    <x v="33"/>
    <n v="10"/>
    <n v="0.1"/>
    <x v="22"/>
    <x v="33"/>
  </r>
  <r>
    <s v="CUST015"/>
    <s v="Linda Taylor"/>
    <x v="3"/>
    <x v="4"/>
    <x v="34"/>
    <n v="14"/>
    <n v="0.05"/>
    <x v="22"/>
    <x v="34"/>
  </r>
  <r>
    <s v="CUST012"/>
    <s v="Michael Anderson"/>
    <x v="0"/>
    <x v="0"/>
    <x v="35"/>
    <n v="12"/>
    <n v="0.2"/>
    <x v="22"/>
    <x v="35"/>
  </r>
  <r>
    <s v="CUST019"/>
    <s v="David Brown"/>
    <x v="1"/>
    <x v="4"/>
    <x v="36"/>
    <n v="9"/>
    <n v="0.05"/>
    <x v="22"/>
    <x v="36"/>
  </r>
  <r>
    <s v="CUST028"/>
    <s v="Lisa Davis"/>
    <x v="4"/>
    <x v="3"/>
    <x v="37"/>
    <n v="11"/>
    <n v="0.05"/>
    <x v="23"/>
    <x v="37"/>
  </r>
  <r>
    <s v="CUST008"/>
    <s v="Mary Wilson"/>
    <x v="4"/>
    <x v="3"/>
    <x v="38"/>
    <n v="13"/>
    <n v="0.15"/>
    <x v="23"/>
    <x v="38"/>
  </r>
  <r>
    <s v="CUST016"/>
    <s v="Emma Wilson"/>
    <x v="1"/>
    <x v="0"/>
    <x v="39"/>
    <n v="19"/>
    <n v="0.15"/>
    <x v="24"/>
    <x v="39"/>
  </r>
  <r>
    <s v="CUST005"/>
    <s v="David Smith"/>
    <x v="2"/>
    <x v="0"/>
    <x v="40"/>
    <n v="15"/>
    <n v="0.1"/>
    <x v="25"/>
    <x v="40"/>
  </r>
  <r>
    <s v="CUST028"/>
    <s v="James Wilson"/>
    <x v="4"/>
    <x v="4"/>
    <x v="41"/>
    <n v="5"/>
    <n v="0.2"/>
    <x v="26"/>
    <x v="41"/>
  </r>
  <r>
    <s v="CUST023"/>
    <s v="David Davis"/>
    <x v="1"/>
    <x v="4"/>
    <x v="42"/>
    <n v="11"/>
    <n v="0.15"/>
    <x v="26"/>
    <x v="42"/>
  </r>
  <r>
    <s v="CUST021"/>
    <s v="James Wilson"/>
    <x v="4"/>
    <x v="0"/>
    <x v="43"/>
    <n v="19"/>
    <n v="0.1"/>
    <x v="27"/>
    <x v="43"/>
  </r>
  <r>
    <s v="CUST026"/>
    <s v="Emma Wilson"/>
    <x v="3"/>
    <x v="3"/>
    <x v="44"/>
    <n v="12"/>
    <n v="0.15"/>
    <x v="27"/>
    <x v="44"/>
  </r>
  <r>
    <s v="CUST017"/>
    <s v="Linda Davis"/>
    <x v="4"/>
    <x v="2"/>
    <x v="45"/>
    <n v="2"/>
    <n v="0"/>
    <x v="28"/>
    <x v="45"/>
  </r>
  <r>
    <s v="CUST025"/>
    <s v="David Davis"/>
    <x v="4"/>
    <x v="4"/>
    <x v="46"/>
    <n v="8"/>
    <n v="0.15"/>
    <x v="28"/>
    <x v="46"/>
  </r>
  <r>
    <s v="CUST011"/>
    <s v="Mary Davis"/>
    <x v="3"/>
    <x v="4"/>
    <x v="47"/>
    <n v="12"/>
    <n v="0"/>
    <x v="29"/>
    <x v="47"/>
  </r>
  <r>
    <s v="CUST021"/>
    <s v="Michael Anderson"/>
    <x v="1"/>
    <x v="3"/>
    <x v="48"/>
    <n v="19"/>
    <n v="0.2"/>
    <x v="30"/>
    <x v="48"/>
  </r>
  <r>
    <s v="CUST008"/>
    <s v="John Brown"/>
    <x v="2"/>
    <x v="2"/>
    <x v="49"/>
    <n v="6"/>
    <n v="0.1"/>
    <x v="31"/>
    <x v="49"/>
  </r>
  <r>
    <s v="CUST007"/>
    <s v="Linda Jackson"/>
    <x v="2"/>
    <x v="2"/>
    <x v="50"/>
    <n v="6"/>
    <n v="0.05"/>
    <x v="32"/>
    <x v="50"/>
  </r>
  <r>
    <s v="CUST015"/>
    <s v="James Wilson"/>
    <x v="2"/>
    <x v="1"/>
    <x v="51"/>
    <n v="7"/>
    <n v="0.1"/>
    <x v="33"/>
    <x v="51"/>
  </r>
  <r>
    <s v="CUST030"/>
    <s v="Sarah Davis"/>
    <x v="2"/>
    <x v="3"/>
    <x v="52"/>
    <n v="2"/>
    <n v="0"/>
    <x v="34"/>
    <x v="52"/>
  </r>
  <r>
    <s v="CUST002"/>
    <s v="Lisa Davis"/>
    <x v="0"/>
    <x v="0"/>
    <x v="53"/>
    <n v="18"/>
    <n v="0.1"/>
    <x v="35"/>
    <x v="53"/>
  </r>
  <r>
    <s v="CUST009"/>
    <s v="Emma Davis"/>
    <x v="3"/>
    <x v="2"/>
    <x v="54"/>
    <n v="15"/>
    <n v="0.15"/>
    <x v="36"/>
    <x v="54"/>
  </r>
  <r>
    <s v="CUST005"/>
    <s v="Robert Anderson"/>
    <x v="2"/>
    <x v="3"/>
    <x v="55"/>
    <n v="10"/>
    <n v="0.2"/>
    <x v="36"/>
    <x v="55"/>
  </r>
  <r>
    <s v="CUST030"/>
    <s v="Emma Taylor"/>
    <x v="4"/>
    <x v="0"/>
    <x v="56"/>
    <n v="11"/>
    <n v="0"/>
    <x v="37"/>
    <x v="56"/>
  </r>
  <r>
    <s v="CUST029"/>
    <s v="Sarah Davis"/>
    <x v="3"/>
    <x v="2"/>
    <x v="57"/>
    <n v="1"/>
    <n v="0.2"/>
    <x v="38"/>
    <x v="57"/>
  </r>
  <r>
    <s v="CUST003"/>
    <s v="Emma Davis"/>
    <x v="3"/>
    <x v="0"/>
    <x v="58"/>
    <n v="2"/>
    <n v="0.1"/>
    <x v="39"/>
    <x v="58"/>
  </r>
  <r>
    <s v="CUST012"/>
    <s v="Mary Wilson"/>
    <x v="0"/>
    <x v="1"/>
    <x v="59"/>
    <n v="17"/>
    <n v="0"/>
    <x v="39"/>
    <x v="59"/>
  </r>
  <r>
    <s v="CUST021"/>
    <s v="Mary Davis"/>
    <x v="1"/>
    <x v="0"/>
    <x v="60"/>
    <n v="8"/>
    <n v="0.1"/>
    <x v="40"/>
    <x v="60"/>
  </r>
  <r>
    <s v="CUST010"/>
    <s v="David Brown"/>
    <x v="4"/>
    <x v="4"/>
    <x v="61"/>
    <n v="9"/>
    <n v="0"/>
    <x v="41"/>
    <x v="61"/>
  </r>
  <r>
    <s v="CUST026"/>
    <s v="Mary Davis"/>
    <x v="1"/>
    <x v="3"/>
    <x v="62"/>
    <n v="17"/>
    <n v="0.1"/>
    <x v="42"/>
    <x v="62"/>
  </r>
  <r>
    <s v="CUST003"/>
    <s v="James Davis"/>
    <x v="0"/>
    <x v="2"/>
    <x v="63"/>
    <n v="17"/>
    <n v="0.2"/>
    <x v="42"/>
    <x v="63"/>
  </r>
  <r>
    <s v="CUST029"/>
    <s v="Emma Wilson"/>
    <x v="2"/>
    <x v="2"/>
    <x v="64"/>
    <n v="5"/>
    <n v="0.05"/>
    <x v="43"/>
    <x v="64"/>
  </r>
  <r>
    <s v="CUST003"/>
    <s v="James Wilson"/>
    <x v="3"/>
    <x v="3"/>
    <x v="65"/>
    <n v="15"/>
    <n v="0.15"/>
    <x v="44"/>
    <x v="65"/>
  </r>
  <r>
    <s v="CUST002"/>
    <s v="Mary Davis"/>
    <x v="2"/>
    <x v="0"/>
    <x v="66"/>
    <n v="12"/>
    <n v="0.05"/>
    <x v="45"/>
    <x v="66"/>
  </r>
  <r>
    <s v="CUST020"/>
    <s v="David Brown"/>
    <x v="0"/>
    <x v="3"/>
    <x v="67"/>
    <n v="5"/>
    <n v="0.05"/>
    <x v="45"/>
    <x v="67"/>
  </r>
  <r>
    <s v="CUST021"/>
    <s v="Mary Jackson"/>
    <x v="3"/>
    <x v="2"/>
    <x v="68"/>
    <n v="11"/>
    <n v="0.05"/>
    <x v="46"/>
    <x v="68"/>
  </r>
  <r>
    <s v="CUST008"/>
    <s v="James Davis"/>
    <x v="4"/>
    <x v="4"/>
    <x v="69"/>
    <n v="1"/>
    <n v="0.05"/>
    <x v="47"/>
    <x v="69"/>
  </r>
  <r>
    <s v="CUST030"/>
    <s v="David Brown"/>
    <x v="4"/>
    <x v="2"/>
    <x v="70"/>
    <n v="1"/>
    <n v="0.05"/>
    <x v="48"/>
    <x v="70"/>
  </r>
  <r>
    <s v="CUST020"/>
    <s v="Linda Moore"/>
    <x v="2"/>
    <x v="4"/>
    <x v="71"/>
    <n v="19"/>
    <n v="0"/>
    <x v="49"/>
    <x v="71"/>
  </r>
  <r>
    <s v="CUST024"/>
    <s v="David Brown"/>
    <x v="1"/>
    <x v="2"/>
    <x v="72"/>
    <n v="10"/>
    <n v="0.15"/>
    <x v="50"/>
    <x v="72"/>
  </r>
  <r>
    <s v="CUST012"/>
    <s v="David Anderson"/>
    <x v="2"/>
    <x v="0"/>
    <x v="73"/>
    <n v="5"/>
    <n v="0.2"/>
    <x v="50"/>
    <x v="73"/>
  </r>
  <r>
    <s v="CUST024"/>
    <s v="Emma Davis"/>
    <x v="0"/>
    <x v="2"/>
    <x v="74"/>
    <n v="13"/>
    <n v="0.2"/>
    <x v="51"/>
    <x v="74"/>
  </r>
  <r>
    <s v="CUST012"/>
    <s v="Linda Wilson"/>
    <x v="0"/>
    <x v="2"/>
    <x v="75"/>
    <n v="5"/>
    <n v="0.15"/>
    <x v="52"/>
    <x v="75"/>
  </r>
  <r>
    <s v="CUST005"/>
    <s v="Linda Taylor"/>
    <x v="4"/>
    <x v="3"/>
    <x v="76"/>
    <n v="3"/>
    <n v="0"/>
    <x v="53"/>
    <x v="76"/>
  </r>
  <r>
    <s v="CUST004"/>
    <s v="Lisa Thomas"/>
    <x v="3"/>
    <x v="3"/>
    <x v="77"/>
    <n v="7"/>
    <n v="0.05"/>
    <x v="54"/>
    <x v="77"/>
  </r>
  <r>
    <s v="CUST026"/>
    <s v="Linda Wilson"/>
    <x v="0"/>
    <x v="4"/>
    <x v="78"/>
    <n v="1"/>
    <n v="0"/>
    <x v="55"/>
    <x v="78"/>
  </r>
  <r>
    <s v="CUST030"/>
    <s v="Mary Davis"/>
    <x v="1"/>
    <x v="1"/>
    <x v="79"/>
    <n v="18"/>
    <n v="0.1"/>
    <x v="56"/>
    <x v="79"/>
  </r>
  <r>
    <s v="CUST007"/>
    <s v="David Brown"/>
    <x v="3"/>
    <x v="0"/>
    <x v="80"/>
    <n v="19"/>
    <n v="0"/>
    <x v="57"/>
    <x v="80"/>
  </r>
  <r>
    <s v="CUST020"/>
    <s v="Linda Jackson"/>
    <x v="1"/>
    <x v="3"/>
    <x v="81"/>
    <n v="17"/>
    <n v="0"/>
    <x v="57"/>
    <x v="81"/>
  </r>
  <r>
    <s v="CUST028"/>
    <s v="Linda Brown"/>
    <x v="4"/>
    <x v="2"/>
    <x v="82"/>
    <n v="7"/>
    <n v="0.1"/>
    <x v="58"/>
    <x v="82"/>
  </r>
  <r>
    <s v="CUST005"/>
    <s v="Lisa Davis"/>
    <x v="4"/>
    <x v="0"/>
    <x v="83"/>
    <n v="7"/>
    <n v="0.05"/>
    <x v="58"/>
    <x v="83"/>
  </r>
  <r>
    <s v="CUST015"/>
    <s v="David Thomas"/>
    <x v="0"/>
    <x v="1"/>
    <x v="84"/>
    <n v="4"/>
    <n v="0.1"/>
    <x v="59"/>
    <x v="84"/>
  </r>
  <r>
    <s v="CUST003"/>
    <s v="James Davis"/>
    <x v="2"/>
    <x v="2"/>
    <x v="85"/>
    <n v="17"/>
    <n v="0"/>
    <x v="59"/>
    <x v="85"/>
  </r>
  <r>
    <s v="CUST023"/>
    <s v="David Brown"/>
    <x v="1"/>
    <x v="3"/>
    <x v="86"/>
    <n v="9"/>
    <n v="0"/>
    <x v="60"/>
    <x v="86"/>
  </r>
  <r>
    <s v="CUST004"/>
    <s v="Sarah Davis"/>
    <x v="0"/>
    <x v="4"/>
    <x v="87"/>
    <n v="19"/>
    <n v="0"/>
    <x v="61"/>
    <x v="87"/>
  </r>
  <r>
    <s v="CUST023"/>
    <s v="James Wilson"/>
    <x v="1"/>
    <x v="4"/>
    <x v="88"/>
    <n v="11"/>
    <n v="0.15"/>
    <x v="62"/>
    <x v="88"/>
  </r>
  <r>
    <s v="CUST022"/>
    <s v="Linda Brown"/>
    <x v="2"/>
    <x v="0"/>
    <x v="89"/>
    <n v="16"/>
    <n v="0.05"/>
    <x v="62"/>
    <x v="89"/>
  </r>
  <r>
    <s v="CUST007"/>
    <s v="Emma Taylor"/>
    <x v="0"/>
    <x v="3"/>
    <x v="90"/>
    <n v="4"/>
    <n v="0.1"/>
    <x v="63"/>
    <x v="90"/>
  </r>
  <r>
    <s v="CUST013"/>
    <s v="Robert Anderson"/>
    <x v="2"/>
    <x v="3"/>
    <x v="91"/>
    <n v="1"/>
    <n v="0.1"/>
    <x v="64"/>
    <x v="91"/>
  </r>
  <r>
    <s v="CUST027"/>
    <s v="Emma Davis"/>
    <x v="1"/>
    <x v="4"/>
    <x v="92"/>
    <n v="13"/>
    <n v="0.15"/>
    <x v="64"/>
    <x v="92"/>
  </r>
  <r>
    <s v="CUST003"/>
    <s v="James Wilson"/>
    <x v="0"/>
    <x v="2"/>
    <x v="93"/>
    <n v="19"/>
    <n v="0.2"/>
    <x v="65"/>
    <x v="93"/>
  </r>
  <r>
    <s v="CUST018"/>
    <s v="Mary Jackson"/>
    <x v="2"/>
    <x v="0"/>
    <x v="94"/>
    <n v="2"/>
    <n v="0.15"/>
    <x v="66"/>
    <x v="94"/>
  </r>
  <r>
    <s v="CUST020"/>
    <s v="James Taylor"/>
    <x v="2"/>
    <x v="0"/>
    <x v="95"/>
    <n v="6"/>
    <n v="0"/>
    <x v="67"/>
    <x v="95"/>
  </r>
  <r>
    <s v="CUST029"/>
    <s v="Emma Wilson"/>
    <x v="0"/>
    <x v="3"/>
    <x v="96"/>
    <n v="7"/>
    <n v="0.15"/>
    <x v="68"/>
    <x v="96"/>
  </r>
  <r>
    <s v="CUST021"/>
    <s v="James Wilson"/>
    <x v="3"/>
    <x v="1"/>
    <x v="97"/>
    <n v="11"/>
    <n v="0.1"/>
    <x v="68"/>
    <x v="97"/>
  </r>
  <r>
    <s v="CUST017"/>
    <s v="Sarah Davis"/>
    <x v="0"/>
    <x v="4"/>
    <x v="98"/>
    <n v="10"/>
    <n v="0.2"/>
    <x v="69"/>
    <x v="98"/>
  </r>
  <r>
    <s v="CUST003"/>
    <s v="James Wilson"/>
    <x v="4"/>
    <x v="1"/>
    <x v="99"/>
    <n v="12"/>
    <n v="0"/>
    <x v="69"/>
    <x v="99"/>
  </r>
  <r>
    <s v="CUST027"/>
    <s v="Emma Davis"/>
    <x v="3"/>
    <x v="0"/>
    <x v="100"/>
    <n v="17"/>
    <n v="0.1"/>
    <x v="70"/>
    <x v="100"/>
  </r>
  <r>
    <s v="CUST016"/>
    <s v="Michael Anderson"/>
    <x v="3"/>
    <x v="1"/>
    <x v="101"/>
    <n v="8"/>
    <n v="0.1"/>
    <x v="70"/>
    <x v="101"/>
  </r>
  <r>
    <s v="CUST008"/>
    <s v="David Davis"/>
    <x v="4"/>
    <x v="2"/>
    <x v="102"/>
    <n v="13"/>
    <n v="0.2"/>
    <x v="71"/>
    <x v="102"/>
  </r>
  <r>
    <s v="CUST012"/>
    <s v="Lisa Davis"/>
    <x v="3"/>
    <x v="2"/>
    <x v="103"/>
    <n v="17"/>
    <n v="0"/>
    <x v="72"/>
    <x v="103"/>
  </r>
  <r>
    <s v="CUST025"/>
    <s v="Mary Jackson"/>
    <x v="1"/>
    <x v="3"/>
    <x v="104"/>
    <n v="8"/>
    <n v="0"/>
    <x v="73"/>
    <x v="104"/>
  </r>
  <r>
    <s v="CUST014"/>
    <s v="Sarah Davis"/>
    <x v="2"/>
    <x v="0"/>
    <x v="105"/>
    <n v="8"/>
    <n v="0.2"/>
    <x v="74"/>
    <x v="105"/>
  </r>
  <r>
    <s v="CUST008"/>
    <s v="James Wilson"/>
    <x v="1"/>
    <x v="0"/>
    <x v="106"/>
    <n v="19"/>
    <n v="0.15"/>
    <x v="74"/>
    <x v="106"/>
  </r>
  <r>
    <s v="CUST015"/>
    <s v="James Wilson"/>
    <x v="0"/>
    <x v="1"/>
    <x v="107"/>
    <n v="9"/>
    <n v="0.2"/>
    <x v="75"/>
    <x v="107"/>
  </r>
  <r>
    <s v="CUST025"/>
    <s v="Emma Taylor"/>
    <x v="4"/>
    <x v="1"/>
    <x v="108"/>
    <n v="14"/>
    <n v="0.1"/>
    <x v="76"/>
    <x v="108"/>
  </r>
  <r>
    <s v="CUST019"/>
    <s v="Linda Jackson"/>
    <x v="4"/>
    <x v="1"/>
    <x v="109"/>
    <n v="7"/>
    <n v="0.15"/>
    <x v="76"/>
    <x v="109"/>
  </r>
  <r>
    <s v="CUST024"/>
    <s v="Emma Taylor"/>
    <x v="1"/>
    <x v="0"/>
    <x v="110"/>
    <n v="16"/>
    <n v="0.1"/>
    <x v="77"/>
    <x v="110"/>
  </r>
  <r>
    <s v="CUST027"/>
    <s v="James Wilson"/>
    <x v="0"/>
    <x v="1"/>
    <x v="111"/>
    <n v="17"/>
    <n v="0.1"/>
    <x v="78"/>
    <x v="111"/>
  </r>
  <r>
    <s v="CUST006"/>
    <s v="David Anderson"/>
    <x v="0"/>
    <x v="3"/>
    <x v="112"/>
    <n v="1"/>
    <n v="0.15"/>
    <x v="78"/>
    <x v="112"/>
  </r>
  <r>
    <s v="CUST009"/>
    <s v="Emma Davis"/>
    <x v="2"/>
    <x v="2"/>
    <x v="113"/>
    <n v="1"/>
    <n v="0"/>
    <x v="79"/>
    <x v="113"/>
  </r>
  <r>
    <s v="CUST003"/>
    <s v="Linda Moore"/>
    <x v="3"/>
    <x v="1"/>
    <x v="114"/>
    <n v="1"/>
    <n v="0.2"/>
    <x v="80"/>
    <x v="114"/>
  </r>
  <r>
    <s v="CUST012"/>
    <s v="David Brown"/>
    <x v="0"/>
    <x v="2"/>
    <x v="115"/>
    <n v="15"/>
    <n v="0"/>
    <x v="81"/>
    <x v="115"/>
  </r>
  <r>
    <s v="CUST013"/>
    <s v="Linda Wilson"/>
    <x v="4"/>
    <x v="0"/>
    <x v="116"/>
    <n v="4"/>
    <n v="0.05"/>
    <x v="82"/>
    <x v="116"/>
  </r>
  <r>
    <s v="CUST008"/>
    <s v="James Wilson"/>
    <x v="1"/>
    <x v="4"/>
    <x v="117"/>
    <n v="14"/>
    <n v="0.05"/>
    <x v="83"/>
    <x v="117"/>
  </r>
  <r>
    <s v="CUST025"/>
    <s v="Lisa Davis"/>
    <x v="1"/>
    <x v="0"/>
    <x v="118"/>
    <n v="2"/>
    <n v="0.15"/>
    <x v="84"/>
    <x v="118"/>
  </r>
  <r>
    <s v="CUST026"/>
    <s v="Mary Wilson"/>
    <x v="3"/>
    <x v="3"/>
    <x v="119"/>
    <n v="4"/>
    <n v="0.05"/>
    <x v="84"/>
    <x v="119"/>
  </r>
  <r>
    <s v="CUST001"/>
    <s v="Lisa Thomas"/>
    <x v="3"/>
    <x v="3"/>
    <x v="120"/>
    <n v="3"/>
    <n v="0.05"/>
    <x v="85"/>
    <x v="120"/>
  </r>
  <r>
    <s v="CUST028"/>
    <s v="Linda Brown"/>
    <x v="2"/>
    <x v="1"/>
    <x v="121"/>
    <n v="5"/>
    <n v="0"/>
    <x v="86"/>
    <x v="121"/>
  </r>
  <r>
    <s v="CUST025"/>
    <s v="Lisa Thomas"/>
    <x v="1"/>
    <x v="4"/>
    <x v="122"/>
    <n v="10"/>
    <n v="0.1"/>
    <x v="87"/>
    <x v="122"/>
  </r>
  <r>
    <s v="CUST019"/>
    <s v="James Taylor"/>
    <x v="2"/>
    <x v="2"/>
    <x v="123"/>
    <n v="14"/>
    <n v="0"/>
    <x v="88"/>
    <x v="123"/>
  </r>
  <r>
    <s v="CUST004"/>
    <s v="James Taylor"/>
    <x v="4"/>
    <x v="1"/>
    <x v="124"/>
    <n v="18"/>
    <n v="0.2"/>
    <x v="88"/>
    <x v="124"/>
  </r>
  <r>
    <s v="CUST024"/>
    <s v="James Wilson"/>
    <x v="3"/>
    <x v="2"/>
    <x v="125"/>
    <n v="1"/>
    <n v="0.15"/>
    <x v="88"/>
    <x v="125"/>
  </r>
  <r>
    <s v="CUST002"/>
    <s v="Linda Brown"/>
    <x v="1"/>
    <x v="2"/>
    <x v="126"/>
    <n v="15"/>
    <n v="0"/>
    <x v="89"/>
    <x v="126"/>
  </r>
  <r>
    <s v="CUST009"/>
    <s v="Emma Wilson"/>
    <x v="2"/>
    <x v="3"/>
    <x v="127"/>
    <n v="10"/>
    <n v="0"/>
    <x v="89"/>
    <x v="127"/>
  </r>
  <r>
    <s v="CUST029"/>
    <s v="Lisa Thomas"/>
    <x v="1"/>
    <x v="2"/>
    <x v="128"/>
    <n v="4"/>
    <n v="0.15"/>
    <x v="89"/>
    <x v="128"/>
  </r>
  <r>
    <s v="CUST027"/>
    <s v="James Wilson"/>
    <x v="0"/>
    <x v="2"/>
    <x v="129"/>
    <n v="19"/>
    <n v="0"/>
    <x v="90"/>
    <x v="129"/>
  </r>
  <r>
    <s v="CUST011"/>
    <s v="Emma Wilson"/>
    <x v="1"/>
    <x v="0"/>
    <x v="130"/>
    <n v="5"/>
    <n v="0.05"/>
    <x v="90"/>
    <x v="130"/>
  </r>
  <r>
    <s v="CUST021"/>
    <s v="Emma Davis"/>
    <x v="4"/>
    <x v="0"/>
    <x v="131"/>
    <n v="8"/>
    <n v="0.05"/>
    <x v="91"/>
    <x v="131"/>
  </r>
  <r>
    <s v="CUST014"/>
    <s v="David Anderson"/>
    <x v="2"/>
    <x v="3"/>
    <x v="132"/>
    <n v="8"/>
    <n v="0.1"/>
    <x v="91"/>
    <x v="132"/>
  </r>
  <r>
    <s v="CUST018"/>
    <s v="Lisa Thomas"/>
    <x v="2"/>
    <x v="2"/>
    <x v="133"/>
    <n v="1"/>
    <n v="0"/>
    <x v="92"/>
    <x v="133"/>
  </r>
  <r>
    <s v="CUST001"/>
    <s v="Sarah Anderson"/>
    <x v="0"/>
    <x v="2"/>
    <x v="134"/>
    <n v="19"/>
    <n v="0.2"/>
    <x v="93"/>
    <x v="134"/>
  </r>
  <r>
    <s v="CUST007"/>
    <s v="Emma Davis"/>
    <x v="3"/>
    <x v="4"/>
    <x v="135"/>
    <n v="3"/>
    <n v="0.05"/>
    <x v="94"/>
    <x v="135"/>
  </r>
  <r>
    <s v="CUST015"/>
    <s v="David Anderson"/>
    <x v="0"/>
    <x v="3"/>
    <x v="136"/>
    <n v="4"/>
    <n v="0.2"/>
    <x v="95"/>
    <x v="136"/>
  </r>
  <r>
    <s v="CUST015"/>
    <s v="Emma Davis"/>
    <x v="4"/>
    <x v="2"/>
    <x v="137"/>
    <n v="8"/>
    <n v="0.05"/>
    <x v="96"/>
    <x v="137"/>
  </r>
  <r>
    <s v="CUST002"/>
    <s v="Emma Wilson"/>
    <x v="2"/>
    <x v="3"/>
    <x v="138"/>
    <n v="19"/>
    <n v="0.05"/>
    <x v="97"/>
    <x v="138"/>
  </r>
  <r>
    <s v="CUST001"/>
    <s v="Michael Anderson"/>
    <x v="4"/>
    <x v="3"/>
    <x v="139"/>
    <n v="16"/>
    <n v="0.15"/>
    <x v="98"/>
    <x v="139"/>
  </r>
  <r>
    <s v="CUST027"/>
    <s v="Linda Wilson"/>
    <x v="4"/>
    <x v="2"/>
    <x v="140"/>
    <n v="10"/>
    <n v="0.15"/>
    <x v="98"/>
    <x v="140"/>
  </r>
  <r>
    <s v="CUST026"/>
    <s v="Emma Taylor"/>
    <x v="1"/>
    <x v="0"/>
    <x v="141"/>
    <n v="9"/>
    <n v="0"/>
    <x v="99"/>
    <x v="141"/>
  </r>
  <r>
    <s v="CUST026"/>
    <s v="Sarah Anderson"/>
    <x v="0"/>
    <x v="2"/>
    <x v="142"/>
    <n v="19"/>
    <n v="0.2"/>
    <x v="100"/>
    <x v="142"/>
  </r>
  <r>
    <s v="CUST022"/>
    <s v="Lisa Thomas"/>
    <x v="4"/>
    <x v="4"/>
    <x v="143"/>
    <n v="16"/>
    <n v="0.05"/>
    <x v="101"/>
    <x v="143"/>
  </r>
  <r>
    <s v="CUST004"/>
    <s v="Mary Davis"/>
    <x v="3"/>
    <x v="1"/>
    <x v="144"/>
    <n v="6"/>
    <n v="0.15"/>
    <x v="102"/>
    <x v="144"/>
  </r>
  <r>
    <s v="CUST001"/>
    <s v="David Anderson"/>
    <x v="3"/>
    <x v="1"/>
    <x v="145"/>
    <n v="13"/>
    <n v="0.2"/>
    <x v="102"/>
    <x v="145"/>
  </r>
  <r>
    <s v="CUST022"/>
    <s v="James Wilson"/>
    <x v="0"/>
    <x v="0"/>
    <x v="146"/>
    <n v="14"/>
    <n v="0.1"/>
    <x v="103"/>
    <x v="146"/>
  </r>
  <r>
    <s v="CUST011"/>
    <s v="Linda Moore"/>
    <x v="4"/>
    <x v="1"/>
    <x v="147"/>
    <n v="11"/>
    <n v="0.05"/>
    <x v="104"/>
    <x v="147"/>
  </r>
  <r>
    <s v="CUST028"/>
    <s v="Lisa Davis"/>
    <x v="3"/>
    <x v="4"/>
    <x v="148"/>
    <n v="1"/>
    <n v="0.2"/>
    <x v="104"/>
    <x v="148"/>
  </r>
  <r>
    <s v="CUST011"/>
    <s v="Linda Wilson"/>
    <x v="3"/>
    <x v="0"/>
    <x v="149"/>
    <n v="18"/>
    <n v="0.1"/>
    <x v="105"/>
    <x v="149"/>
  </r>
  <r>
    <s v="CUST028"/>
    <s v="James Wilson"/>
    <x v="4"/>
    <x v="4"/>
    <x v="150"/>
    <n v="10"/>
    <n v="0.1"/>
    <x v="106"/>
    <x v="150"/>
  </r>
  <r>
    <s v="CUST016"/>
    <s v="James Taylor"/>
    <x v="2"/>
    <x v="1"/>
    <x v="151"/>
    <n v="5"/>
    <n v="0.05"/>
    <x v="106"/>
    <x v="151"/>
  </r>
  <r>
    <s v="CUST010"/>
    <s v="Linda Wilson"/>
    <x v="0"/>
    <x v="3"/>
    <x v="152"/>
    <n v="18"/>
    <n v="0.05"/>
    <x v="107"/>
    <x v="152"/>
  </r>
  <r>
    <s v="CUST013"/>
    <s v="Mary Wilson"/>
    <x v="3"/>
    <x v="1"/>
    <x v="153"/>
    <n v="19"/>
    <n v="0.05"/>
    <x v="108"/>
    <x v="153"/>
  </r>
  <r>
    <s v="CUST015"/>
    <s v="Robert Anderson"/>
    <x v="2"/>
    <x v="3"/>
    <x v="154"/>
    <n v="11"/>
    <n v="0.1"/>
    <x v="109"/>
    <x v="154"/>
  </r>
  <r>
    <s v="CUST015"/>
    <s v="James Wilson"/>
    <x v="3"/>
    <x v="2"/>
    <x v="155"/>
    <n v="5"/>
    <n v="0.2"/>
    <x v="110"/>
    <x v="155"/>
  </r>
  <r>
    <s v="CUST015"/>
    <s v="David Thomas"/>
    <x v="0"/>
    <x v="1"/>
    <x v="156"/>
    <n v="9"/>
    <n v="0.05"/>
    <x v="111"/>
    <x v="156"/>
  </r>
  <r>
    <s v="CUST008"/>
    <s v="Lisa Thomas"/>
    <x v="4"/>
    <x v="1"/>
    <x v="157"/>
    <n v="2"/>
    <n v="0.1"/>
    <x v="112"/>
    <x v="157"/>
  </r>
  <r>
    <s v="CUST008"/>
    <s v="Mary Davis"/>
    <x v="4"/>
    <x v="4"/>
    <x v="158"/>
    <n v="7"/>
    <n v="0"/>
    <x v="112"/>
    <x v="158"/>
  </r>
  <r>
    <s v="CUST023"/>
    <s v="James Taylor"/>
    <x v="2"/>
    <x v="1"/>
    <x v="159"/>
    <n v="6"/>
    <n v="0.2"/>
    <x v="112"/>
    <x v="159"/>
  </r>
  <r>
    <s v="CUST024"/>
    <s v="Linda Taylor"/>
    <x v="3"/>
    <x v="1"/>
    <x v="160"/>
    <n v="12"/>
    <n v="0.2"/>
    <x v="113"/>
    <x v="160"/>
  </r>
  <r>
    <s v="CUST018"/>
    <s v="Lisa Davis"/>
    <x v="3"/>
    <x v="0"/>
    <x v="161"/>
    <n v="11"/>
    <n v="0.2"/>
    <x v="114"/>
    <x v="161"/>
  </r>
  <r>
    <s v="CUST030"/>
    <s v="Sarah Anderson"/>
    <x v="0"/>
    <x v="1"/>
    <x v="162"/>
    <n v="17"/>
    <n v="0.1"/>
    <x v="115"/>
    <x v="162"/>
  </r>
  <r>
    <s v="CUST030"/>
    <s v="Mary Davis"/>
    <x v="1"/>
    <x v="1"/>
    <x v="163"/>
    <n v="5"/>
    <n v="0.2"/>
    <x v="116"/>
    <x v="163"/>
  </r>
  <r>
    <s v="CUST015"/>
    <s v="Lisa Thomas"/>
    <x v="1"/>
    <x v="0"/>
    <x v="164"/>
    <n v="9"/>
    <n v="0.1"/>
    <x v="117"/>
    <x v="164"/>
  </r>
  <r>
    <s v="CUST002"/>
    <s v="Lisa Davis"/>
    <x v="0"/>
    <x v="4"/>
    <x v="165"/>
    <n v="7"/>
    <n v="0.1"/>
    <x v="118"/>
    <x v="165"/>
  </r>
  <r>
    <s v="CUST024"/>
    <s v="Linda Wilson"/>
    <x v="4"/>
    <x v="1"/>
    <x v="166"/>
    <n v="16"/>
    <n v="0.1"/>
    <x v="119"/>
    <x v="166"/>
  </r>
  <r>
    <s v="CUST004"/>
    <s v="James Davis"/>
    <x v="1"/>
    <x v="4"/>
    <x v="167"/>
    <n v="6"/>
    <n v="0.1"/>
    <x v="120"/>
    <x v="167"/>
  </r>
  <r>
    <s v="CUST004"/>
    <s v="Mary Davis"/>
    <x v="2"/>
    <x v="4"/>
    <x v="168"/>
    <n v="19"/>
    <n v="0.1"/>
    <x v="121"/>
    <x v="168"/>
  </r>
  <r>
    <s v="CUST028"/>
    <s v="James Wilson"/>
    <x v="0"/>
    <x v="2"/>
    <x v="169"/>
    <n v="14"/>
    <n v="0.2"/>
    <x v="122"/>
    <x v="169"/>
  </r>
  <r>
    <s v="CUST012"/>
    <s v="Lisa Thomas"/>
    <x v="3"/>
    <x v="1"/>
    <x v="170"/>
    <n v="4"/>
    <n v="0"/>
    <x v="123"/>
    <x v="170"/>
  </r>
  <r>
    <s v="CUST026"/>
    <s v="David Brown"/>
    <x v="0"/>
    <x v="2"/>
    <x v="171"/>
    <n v="3"/>
    <n v="0"/>
    <x v="124"/>
    <x v="171"/>
  </r>
  <r>
    <s v="CUST009"/>
    <s v="Mary Davis"/>
    <x v="3"/>
    <x v="0"/>
    <x v="172"/>
    <n v="2"/>
    <n v="0.2"/>
    <x v="125"/>
    <x v="172"/>
  </r>
  <r>
    <s v="CUST003"/>
    <s v="Sarah Anderson"/>
    <x v="2"/>
    <x v="0"/>
    <x v="173"/>
    <n v="15"/>
    <n v="0.2"/>
    <x v="126"/>
    <x v="173"/>
  </r>
  <r>
    <s v="CUST002"/>
    <s v="Mary Jackson"/>
    <x v="4"/>
    <x v="4"/>
    <x v="174"/>
    <n v="12"/>
    <n v="0.2"/>
    <x v="126"/>
    <x v="174"/>
  </r>
  <r>
    <s v="CUST013"/>
    <s v="Linda Taylor"/>
    <x v="4"/>
    <x v="0"/>
    <x v="175"/>
    <n v="2"/>
    <n v="0.15"/>
    <x v="127"/>
    <x v="175"/>
  </r>
  <r>
    <s v="CUST018"/>
    <s v="Mary Davis"/>
    <x v="4"/>
    <x v="1"/>
    <x v="176"/>
    <n v="18"/>
    <n v="0.2"/>
    <x v="128"/>
    <x v="176"/>
  </r>
  <r>
    <s v="CUST017"/>
    <s v="Mary Davis"/>
    <x v="4"/>
    <x v="1"/>
    <x v="177"/>
    <n v="8"/>
    <n v="0.1"/>
    <x v="129"/>
    <x v="177"/>
  </r>
  <r>
    <s v="CUST004"/>
    <s v="Linda Wilson"/>
    <x v="1"/>
    <x v="0"/>
    <x v="178"/>
    <n v="6"/>
    <n v="0"/>
    <x v="130"/>
    <x v="178"/>
  </r>
  <r>
    <s v="CUST028"/>
    <s v="Sarah Davis"/>
    <x v="3"/>
    <x v="0"/>
    <x v="179"/>
    <n v="8"/>
    <n v="0.1"/>
    <x v="131"/>
    <x v="179"/>
  </r>
  <r>
    <s v="CUST028"/>
    <s v="Mary Wilson"/>
    <x v="3"/>
    <x v="0"/>
    <x v="180"/>
    <n v="15"/>
    <n v="0.2"/>
    <x v="132"/>
    <x v="180"/>
  </r>
  <r>
    <s v="CUST014"/>
    <s v="Emma Davis"/>
    <x v="2"/>
    <x v="0"/>
    <x v="181"/>
    <n v="18"/>
    <n v="0.05"/>
    <x v="133"/>
    <x v="181"/>
  </r>
  <r>
    <s v="CUST003"/>
    <s v="Emma Davis"/>
    <x v="1"/>
    <x v="4"/>
    <x v="182"/>
    <n v="18"/>
    <n v="0.05"/>
    <x v="134"/>
    <x v="182"/>
  </r>
  <r>
    <s v="CUST029"/>
    <s v="David Brown"/>
    <x v="0"/>
    <x v="1"/>
    <x v="183"/>
    <n v="2"/>
    <n v="0.05"/>
    <x v="135"/>
    <x v="183"/>
  </r>
  <r>
    <s v="CUST021"/>
    <s v="David Brown"/>
    <x v="0"/>
    <x v="3"/>
    <x v="184"/>
    <n v="14"/>
    <n v="0.2"/>
    <x v="136"/>
    <x v="184"/>
  </r>
  <r>
    <s v="CUST007"/>
    <s v="David Brown"/>
    <x v="0"/>
    <x v="1"/>
    <x v="185"/>
    <n v="18"/>
    <n v="0"/>
    <x v="137"/>
    <x v="185"/>
  </r>
  <r>
    <s v="CUST009"/>
    <s v="Linda Taylor"/>
    <x v="2"/>
    <x v="1"/>
    <x v="186"/>
    <n v="9"/>
    <n v="0.1"/>
    <x v="138"/>
    <x v="186"/>
  </r>
  <r>
    <s v="CUST023"/>
    <s v="Mary Wilson"/>
    <x v="2"/>
    <x v="1"/>
    <x v="187"/>
    <n v="1"/>
    <n v="0"/>
    <x v="139"/>
    <x v="187"/>
  </r>
  <r>
    <s v="CUST029"/>
    <s v="Michael Anderson"/>
    <x v="3"/>
    <x v="2"/>
    <x v="188"/>
    <n v="15"/>
    <n v="0.2"/>
    <x v="140"/>
    <x v="188"/>
  </r>
  <r>
    <s v="CUST009"/>
    <s v="Michael Anderson"/>
    <x v="2"/>
    <x v="3"/>
    <x v="189"/>
    <n v="11"/>
    <n v="0.2"/>
    <x v="141"/>
    <x v="189"/>
  </r>
  <r>
    <s v="CUST007"/>
    <s v="James Davis"/>
    <x v="2"/>
    <x v="1"/>
    <x v="190"/>
    <n v="9"/>
    <n v="0"/>
    <x v="142"/>
    <x v="190"/>
  </r>
  <r>
    <s v="CUST030"/>
    <s v="Linda Taylor"/>
    <x v="3"/>
    <x v="0"/>
    <x v="191"/>
    <n v="10"/>
    <n v="0.15"/>
    <x v="142"/>
    <x v="191"/>
  </r>
  <r>
    <s v="CUST018"/>
    <s v="David Anderson"/>
    <x v="4"/>
    <x v="1"/>
    <x v="192"/>
    <n v="14"/>
    <n v="0.05"/>
    <x v="143"/>
    <x v="192"/>
  </r>
  <r>
    <s v="CUST008"/>
    <s v="Emma Wilson"/>
    <x v="1"/>
    <x v="3"/>
    <x v="193"/>
    <n v="17"/>
    <n v="0.1"/>
    <x v="143"/>
    <x v="193"/>
  </r>
  <r>
    <s v="CUST014"/>
    <s v="Sarah Anderson"/>
    <x v="0"/>
    <x v="1"/>
    <x v="194"/>
    <n v="8"/>
    <n v="0.15"/>
    <x v="144"/>
    <x v="194"/>
  </r>
  <r>
    <s v="CUST024"/>
    <s v="David Thomas"/>
    <x v="4"/>
    <x v="1"/>
    <x v="195"/>
    <n v="8"/>
    <n v="0.2"/>
    <x v="144"/>
    <x v="195"/>
  </r>
  <r>
    <s v="CUST028"/>
    <s v="Robert Anderson"/>
    <x v="2"/>
    <x v="4"/>
    <x v="196"/>
    <n v="3"/>
    <n v="0"/>
    <x v="145"/>
    <x v="196"/>
  </r>
  <r>
    <s v="CUST015"/>
    <s v="Sarah Anderson"/>
    <x v="0"/>
    <x v="4"/>
    <x v="197"/>
    <n v="17"/>
    <n v="0"/>
    <x v="146"/>
    <x v="197"/>
  </r>
  <r>
    <s v="CUST010"/>
    <s v="David Thomas"/>
    <x v="1"/>
    <x v="0"/>
    <x v="198"/>
    <n v="8"/>
    <n v="0.05"/>
    <x v="146"/>
    <x v="198"/>
  </r>
  <r>
    <s v="CUST016"/>
    <s v="David Thomas"/>
    <x v="2"/>
    <x v="1"/>
    <x v="199"/>
    <n v="2"/>
    <n v="0.05"/>
    <x v="147"/>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DCB119-211E-4DB7-BE6A-E6A3DF47B70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9:J25" firstHeaderRow="1" firstDataRow="1" firstDataCol="1"/>
  <pivotFields count="12">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4"/>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F1C6B-EB21-46DA-B393-C276F1527B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D52" firstHeaderRow="1" firstDataRow="1" firstDataCol="0"/>
  <pivotFields count="12">
    <pivotField showAll="0"/>
    <pivotField showAll="0"/>
    <pivotField showAll="0"/>
    <pivotField showAll="0"/>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DE1E5E-4B28-413E-B690-03D6859BF2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13:E26" firstHeaderRow="1"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9"/>
    <field x="7"/>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27"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39CB24-8EE1-4400-86F6-D18A57D887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D5:E11" firstHeaderRow="1" firstDataRow="1" firstDataCol="1"/>
  <pivotFields count="12">
    <pivotField showAll="0"/>
    <pivotField showAll="0"/>
    <pivotField axis="axisRow" showAll="0">
      <items count="6">
        <item x="4"/>
        <item x="1"/>
        <item x="3"/>
        <item x="2"/>
        <item x="0"/>
        <item t="default"/>
      </items>
    </pivotField>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1">
    <chartFormat chart="65"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CC3042-EF3E-49F2-8981-299602C4BE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P10:R23" firstHeaderRow="0" firstDataRow="1" firstDataCol="1"/>
  <pivotFields count="12">
    <pivotField showAll="0"/>
    <pivotField showAll="0"/>
    <pivotField showAll="0"/>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8" baseField="0" baseItem="0"/>
    <dataField name="Sum of Sales" fld="4" baseField="0" baseItem="0"/>
  </dataFields>
  <chartFormats count="2">
    <chartFormat chart="33" format="6"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068DB0-C00B-4F3B-A5BC-CCAFE1DCC24E}" sourceName="Region">
  <pivotTables>
    <pivotTable tabId="3" name="PivotTable1"/>
  </pivotTables>
  <data>
    <tabular pivotCacheId="188710506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5BB263F-B130-4D5D-8AFE-601D5D67A4D1}" sourceName="Months (Order_Date)">
  <pivotTables>
    <pivotTable tabId="3" name="PivotTable2"/>
  </pivotTables>
  <data>
    <tabular pivotCacheId="1887105069">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F8A320F-6859-4ADB-9675-E983AD11AED5}" sourceName="Product_Category">
  <pivotTables>
    <pivotTable tabId="3" name="PivotTable5"/>
  </pivotTables>
  <data>
    <tabular pivotCacheId="188710506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022A96-E7E2-4D23-B8AF-23480933768F}" cache="Slicer_Region" caption="Region" columnCount="3" style="Slicer Style 1" rowHeight="234950"/>
  <slicer name="Months (Order_Date)" xr10:uid="{96AE0D34-0C39-4C39-9C88-4E783B591976}" cache="Slicer_Months__Order_Date" caption="Months (Order_Date)" columnCount="4" style="Slicer Style 1" rowHeight="234950"/>
  <slicer name="Product_Category" xr10:uid="{DBCAC545-8EAE-4A8C-937D-1E46CB0EBD04}" cache="Slicer_Product_Category" caption="Product_Category"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7A22BB-6872-4330-A744-45AE7A41DA60}" name="Table1" displayName="Table1" ref="A1:J202" totalsRowCount="1" headerRowDxfId="22" dataDxfId="21">
  <autoFilter ref="A1:J201" xr:uid="{187A22BB-6872-4330-A744-45AE7A41DA60}"/>
  <tableColumns count="10">
    <tableColumn id="1" xr3:uid="{F29077EF-7147-4754-B20F-138469395084}" name="Customer_ID" dataDxfId="20" totalsRowDxfId="19"/>
    <tableColumn id="2" xr3:uid="{DFEF4560-29C9-4A73-8A6B-A07DBACBCD03}" name="Customer_Name" dataDxfId="18" totalsRowDxfId="17"/>
    <tableColumn id="3" xr3:uid="{453C7EF5-1908-47C9-BB83-7D327513AEE7}" name="Region" dataDxfId="16" totalsRowDxfId="15"/>
    <tableColumn id="4" xr3:uid="{8FC9AC3A-7375-4BF5-A008-208F808B8603}" name="Product_Category" dataDxfId="14" totalsRowDxfId="13"/>
    <tableColumn id="5" xr3:uid="{04648DA7-EDF7-445E-80E9-4E8264DE9D33}" name="Sales" dataDxfId="12" totalsRowDxfId="11"/>
    <tableColumn id="6" xr3:uid="{3CC437BA-6908-4763-B07E-2A4095EC65C5}" name="Quantity" dataDxfId="10" totalsRowDxfId="9"/>
    <tableColumn id="7" xr3:uid="{D86C54C0-A428-49D7-89BE-C7DE9CCBE800}" name="Discount" dataDxfId="8" totalsRowDxfId="7"/>
    <tableColumn id="8" xr3:uid="{726D1BE6-D19B-4C6C-8DA9-F888522B1B4F}" name="Order_Date" dataDxfId="6" totalsRowDxfId="5"/>
    <tableColumn id="9" xr3:uid="{BDC241E6-9B26-4AA2-ABEE-E7097644BE78}" name="Profit" dataDxfId="4" totalsRowDxfId="3"/>
    <tableColumn id="10" xr3:uid="{82C78B5A-D85B-4CC9-98DB-83784DDD4FE0}" name="MONTH" dataDxfId="2" totalsRowDxfId="1">
      <calculatedColumnFormula>TEXT(Table1[[#This Row],[Order_Date]],"MMM")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abSelected="1" topLeftCell="A3" workbookViewId="0">
      <selection activeCell="A18" sqref="A18:A27"/>
    </sheetView>
  </sheetViews>
  <sheetFormatPr defaultColWidth="14.44140625" defaultRowHeight="15" customHeight="1" x14ac:dyDescent="0.3"/>
  <cols>
    <col min="1" max="1" width="74.88671875" customWidth="1"/>
    <col min="2" max="26" width="8.6640625" customWidth="1"/>
  </cols>
  <sheetData>
    <row r="1" spans="1:26" ht="14.4" x14ac:dyDescent="0.3">
      <c r="A1" s="7" t="s">
        <v>0</v>
      </c>
      <c r="B1" s="1"/>
      <c r="C1" s="1"/>
      <c r="D1" s="1"/>
      <c r="E1" s="1"/>
      <c r="F1" s="1"/>
      <c r="G1" s="1"/>
      <c r="H1" s="1"/>
      <c r="I1" s="1"/>
      <c r="J1" s="1"/>
      <c r="K1" s="1"/>
      <c r="L1" s="1"/>
      <c r="M1" s="1"/>
      <c r="N1" s="1"/>
      <c r="O1" s="1"/>
      <c r="P1" s="1"/>
      <c r="Q1" s="1"/>
      <c r="R1" s="1"/>
      <c r="S1" s="1"/>
      <c r="T1" s="1"/>
      <c r="U1" s="1"/>
      <c r="V1" s="1"/>
      <c r="W1" s="1"/>
      <c r="X1" s="1"/>
      <c r="Y1" s="1"/>
      <c r="Z1" s="1"/>
    </row>
    <row r="2" spans="1:26" s="6" customFormat="1" ht="14.4" x14ac:dyDescent="0.3">
      <c r="A2" s="3" t="s">
        <v>28</v>
      </c>
      <c r="B2" s="5"/>
      <c r="C2" s="5"/>
      <c r="D2" s="5"/>
      <c r="E2" s="5"/>
      <c r="F2" s="5"/>
      <c r="G2" s="5"/>
      <c r="H2" s="5"/>
      <c r="I2" s="5"/>
      <c r="J2" s="5"/>
      <c r="K2" s="5"/>
      <c r="L2" s="5"/>
      <c r="M2" s="5"/>
      <c r="N2" s="5"/>
      <c r="O2" s="5"/>
      <c r="P2" s="5"/>
      <c r="Q2" s="5"/>
      <c r="R2" s="5"/>
      <c r="S2" s="5"/>
      <c r="T2" s="5"/>
      <c r="U2" s="5"/>
      <c r="V2" s="5"/>
      <c r="W2" s="5"/>
      <c r="X2" s="5"/>
      <c r="Y2" s="5"/>
      <c r="Z2" s="5"/>
    </row>
    <row r="3" spans="1:26" ht="14.4" x14ac:dyDescent="0.3">
      <c r="A3" s="4" t="s">
        <v>29</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4" t="s">
        <v>30</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4" t="s">
        <v>31</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4" t="s">
        <v>32</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4" t="s">
        <v>33</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4" t="s">
        <v>34</v>
      </c>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4" t="s">
        <v>35</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4" t="s">
        <v>36</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4" t="s">
        <v>37</v>
      </c>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4" t="s">
        <v>38</v>
      </c>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
      <c r="A13" s="4" t="s">
        <v>39</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4" t="s">
        <v>40</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
      <c r="A15" s="4" t="s">
        <v>41</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
      <c r="A17" s="8" t="s">
        <v>42</v>
      </c>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
      <c r="A18" s="9" t="s">
        <v>43</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
      <c r="A19" s="9" t="s">
        <v>44</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
      <c r="A20" s="9" t="s">
        <v>45</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9" t="s">
        <v>46</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9" t="s">
        <v>47</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9" t="s">
        <v>48</v>
      </c>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9" t="s">
        <v>49</v>
      </c>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9" t="s">
        <v>50</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9" t="s">
        <v>51</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9" t="s">
        <v>52</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3" t="s">
        <v>53</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4" t="s">
        <v>54</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topLeftCell="E1" zoomScale="83" workbookViewId="0">
      <selection activeCell="V33" sqref="V33"/>
    </sheetView>
  </sheetViews>
  <sheetFormatPr defaultColWidth="14.44140625" defaultRowHeight="15" customHeight="1" x14ac:dyDescent="0.3"/>
  <cols>
    <col min="1" max="1" width="14.33203125" bestFit="1" customWidth="1"/>
    <col min="2" max="2" width="17.6640625" bestFit="1" customWidth="1"/>
    <col min="3" max="3" width="9.33203125" bestFit="1" customWidth="1"/>
    <col min="4" max="4" width="18.5546875" bestFit="1" customWidth="1"/>
    <col min="5" max="5" width="9" bestFit="1" customWidth="1"/>
    <col min="6" max="7" width="10.77734375" bestFit="1" customWidth="1"/>
    <col min="8" max="8" width="16.77734375" bestFit="1" customWidth="1"/>
    <col min="9" max="9" width="9" bestFit="1" customWidth="1"/>
    <col min="10" max="10" width="10.109375" bestFit="1" customWidth="1"/>
    <col min="11" max="11" width="8.6640625" customWidth="1"/>
    <col min="12" max="12" width="17.44140625" bestFit="1" customWidth="1"/>
    <col min="13" max="13" width="12" bestFit="1" customWidth="1"/>
    <col min="14" max="14" width="13.44140625" bestFit="1" customWidth="1"/>
    <col min="15" max="15" width="12" bestFit="1" customWidth="1"/>
    <col min="16" max="16" width="18.21875" bestFit="1" customWidth="1"/>
    <col min="17" max="17" width="14.6640625" bestFit="1" customWidth="1"/>
    <col min="18" max="18" width="13.6640625" bestFit="1" customWidth="1"/>
    <col min="19" max="19" width="12.109375" bestFit="1" customWidth="1"/>
    <col min="20" max="21" width="12" bestFit="1" customWidth="1"/>
    <col min="22" max="22" width="12.44140625" bestFit="1" customWidth="1"/>
    <col min="23" max="23" width="12" bestFit="1" customWidth="1"/>
    <col min="24" max="25" width="12.109375" bestFit="1" customWidth="1"/>
    <col min="26" max="26" width="8.6640625" customWidth="1"/>
  </cols>
  <sheetData>
    <row r="1" spans="1:24" ht="14.4" x14ac:dyDescent="0.3">
      <c r="A1" s="21" t="s">
        <v>1</v>
      </c>
      <c r="B1" s="21" t="s">
        <v>2</v>
      </c>
      <c r="C1" s="21" t="s">
        <v>3</v>
      </c>
      <c r="D1" s="21" t="s">
        <v>4</v>
      </c>
      <c r="E1" s="21" t="s">
        <v>5</v>
      </c>
      <c r="F1" s="21" t="s">
        <v>6</v>
      </c>
      <c r="G1" s="21" t="s">
        <v>7</v>
      </c>
      <c r="H1" s="21" t="s">
        <v>8</v>
      </c>
      <c r="I1" s="21" t="s">
        <v>9</v>
      </c>
      <c r="J1" s="21" t="s">
        <v>95</v>
      </c>
      <c r="K1" s="2"/>
      <c r="L1" s="2"/>
      <c r="M1" s="2"/>
      <c r="N1" s="2"/>
      <c r="O1" s="2"/>
      <c r="P1" s="2"/>
      <c r="Q1" s="2"/>
      <c r="R1" s="2"/>
      <c r="S1" s="2"/>
      <c r="T1" s="2"/>
      <c r="U1" s="2"/>
      <c r="V1" s="2"/>
      <c r="W1" s="2"/>
      <c r="X1" s="2"/>
    </row>
    <row r="2" spans="1:24" ht="15.6" x14ac:dyDescent="0.3">
      <c r="A2" s="22" t="s">
        <v>10</v>
      </c>
      <c r="B2" s="22" t="s">
        <v>11</v>
      </c>
      <c r="C2" s="22" t="s">
        <v>21</v>
      </c>
      <c r="D2" s="22" t="s">
        <v>13</v>
      </c>
      <c r="E2" s="22">
        <v>1036.0899999999999</v>
      </c>
      <c r="F2" s="22">
        <v>4</v>
      </c>
      <c r="G2" s="22">
        <v>0.2</v>
      </c>
      <c r="H2" s="23">
        <v>45392</v>
      </c>
      <c r="I2" s="22">
        <v>331.55</v>
      </c>
      <c r="J2" s="22" t="str">
        <f>TEXT(Table1[[#This Row],[Order_Date]],"MMM")</f>
        <v>Apr</v>
      </c>
      <c r="P2" s="36" t="s">
        <v>305</v>
      </c>
      <c r="Q2" s="33"/>
      <c r="R2" s="33"/>
      <c r="S2" s="33"/>
      <c r="T2" s="33"/>
      <c r="U2" s="33"/>
      <c r="V2" s="33"/>
      <c r="W2" s="33"/>
      <c r="X2" s="33"/>
    </row>
    <row r="3" spans="1:24" ht="14.4" x14ac:dyDescent="0.3">
      <c r="A3" s="22" t="s">
        <v>14</v>
      </c>
      <c r="B3" s="22" t="s">
        <v>15</v>
      </c>
      <c r="C3" s="22" t="s">
        <v>21</v>
      </c>
      <c r="D3" s="22" t="s">
        <v>16</v>
      </c>
      <c r="E3" s="22">
        <v>1101.28</v>
      </c>
      <c r="F3" s="22">
        <v>3</v>
      </c>
      <c r="G3" s="22">
        <v>0.2</v>
      </c>
      <c r="H3" s="23">
        <v>45393</v>
      </c>
      <c r="I3" s="22">
        <v>440.51</v>
      </c>
      <c r="J3" s="22" t="str">
        <f>TEXT(Table1[[#This Row],[Order_Date]],"MMM")</f>
        <v>Apr</v>
      </c>
      <c r="P3" s="26" t="s">
        <v>55</v>
      </c>
      <c r="Q3" s="27"/>
      <c r="R3" s="27"/>
      <c r="S3" s="27"/>
      <c r="T3" s="27"/>
      <c r="U3" s="27"/>
      <c r="V3" s="27"/>
      <c r="W3" s="27"/>
      <c r="X3" s="27"/>
    </row>
    <row r="4" spans="1:24" ht="14.4" x14ac:dyDescent="0.3">
      <c r="A4" s="22" t="s">
        <v>17</v>
      </c>
      <c r="B4" s="22" t="s">
        <v>11</v>
      </c>
      <c r="C4" s="22" t="s">
        <v>21</v>
      </c>
      <c r="D4" s="22" t="s">
        <v>13</v>
      </c>
      <c r="E4" s="22">
        <v>1166.47</v>
      </c>
      <c r="F4" s="22">
        <v>2</v>
      </c>
      <c r="G4" s="22">
        <v>0.2</v>
      </c>
      <c r="H4" s="23">
        <v>45394</v>
      </c>
      <c r="I4" s="22">
        <v>549.47</v>
      </c>
      <c r="J4" s="22" t="str">
        <f>TEXT(Table1[[#This Row],[Order_Date]],"MMM")</f>
        <v>Apr</v>
      </c>
      <c r="L4" s="25" t="s">
        <v>304</v>
      </c>
      <c r="P4" s="27"/>
      <c r="Q4" s="27"/>
      <c r="R4" s="27"/>
      <c r="S4" s="27"/>
      <c r="T4" s="27"/>
      <c r="U4" s="27"/>
      <c r="V4" s="27"/>
      <c r="W4" s="27"/>
      <c r="X4" s="27"/>
    </row>
    <row r="5" spans="1:24" ht="14.4" x14ac:dyDescent="0.3">
      <c r="A5" s="22" t="s">
        <v>27</v>
      </c>
      <c r="B5" s="22" t="s">
        <v>15</v>
      </c>
      <c r="C5" s="22" t="s">
        <v>21</v>
      </c>
      <c r="D5" s="22" t="s">
        <v>16</v>
      </c>
      <c r="E5" s="22">
        <v>1231.6600000000001</v>
      </c>
      <c r="F5" s="22">
        <v>1</v>
      </c>
      <c r="G5" s="22">
        <v>0.2</v>
      </c>
      <c r="H5" s="23">
        <v>45395</v>
      </c>
      <c r="I5" s="22">
        <v>658.43</v>
      </c>
      <c r="J5" s="22" t="str">
        <f>TEXT(Table1[[#This Row],[Order_Date]],"MMM")</f>
        <v>Apr</v>
      </c>
      <c r="L5" s="30">
        <f ca="1">NOW()</f>
        <v>46074.416320254626</v>
      </c>
      <c r="P5" s="31" t="s">
        <v>56</v>
      </c>
      <c r="Q5" s="31"/>
      <c r="R5" s="27"/>
      <c r="S5" s="27"/>
      <c r="T5" s="27"/>
      <c r="U5" s="27"/>
      <c r="V5" s="27"/>
      <c r="W5" s="27"/>
      <c r="X5" s="27"/>
    </row>
    <row r="6" spans="1:24" ht="14.4" x14ac:dyDescent="0.3">
      <c r="A6" s="22" t="s">
        <v>23</v>
      </c>
      <c r="B6" s="22" t="s">
        <v>11</v>
      </c>
      <c r="C6" s="22" t="s">
        <v>21</v>
      </c>
      <c r="D6" s="22" t="s">
        <v>13</v>
      </c>
      <c r="E6" s="22">
        <v>1296.8499999999999</v>
      </c>
      <c r="F6" s="22">
        <v>0</v>
      </c>
      <c r="G6" s="22">
        <v>0.2</v>
      </c>
      <c r="H6" s="23">
        <v>45396</v>
      </c>
      <c r="I6" s="22">
        <v>767.39</v>
      </c>
      <c r="J6" s="22" t="str">
        <f>TEXT(Table1[[#This Row],[Order_Date]],"MMM")</f>
        <v>Apr</v>
      </c>
      <c r="P6" s="27" t="s">
        <v>57</v>
      </c>
      <c r="Q6" s="27">
        <v>0.77340306414342619</v>
      </c>
      <c r="R6" s="27"/>
      <c r="S6" s="27"/>
      <c r="T6" s="27"/>
      <c r="U6" s="27"/>
      <c r="V6" s="27"/>
      <c r="W6" s="27"/>
      <c r="X6" s="27"/>
    </row>
    <row r="7" spans="1:24" ht="14.4" x14ac:dyDescent="0.3">
      <c r="A7" s="22" t="s">
        <v>26</v>
      </c>
      <c r="B7" s="22" t="s">
        <v>15</v>
      </c>
      <c r="C7" s="22" t="s">
        <v>21</v>
      </c>
      <c r="D7" s="22" t="s">
        <v>16</v>
      </c>
      <c r="E7" s="22">
        <v>1362.04</v>
      </c>
      <c r="F7" s="22">
        <v>1</v>
      </c>
      <c r="G7" s="22">
        <v>0.2</v>
      </c>
      <c r="H7" s="23">
        <v>45397</v>
      </c>
      <c r="I7" s="22">
        <v>876.35</v>
      </c>
      <c r="J7" s="22" t="str">
        <f>TEXT(Table1[[#This Row],[Order_Date]],"MMM")</f>
        <v>Apr</v>
      </c>
      <c r="P7" s="27" t="s">
        <v>58</v>
      </c>
      <c r="Q7" s="27">
        <v>0.59815229962644068</v>
      </c>
      <c r="R7" s="27"/>
      <c r="S7" s="27"/>
      <c r="T7" s="27"/>
      <c r="U7" s="27"/>
      <c r="V7" s="27"/>
      <c r="W7" s="27"/>
      <c r="X7" s="27"/>
    </row>
    <row r="8" spans="1:24" ht="14.4" x14ac:dyDescent="0.3">
      <c r="A8" s="22" t="s">
        <v>25</v>
      </c>
      <c r="B8" s="22" t="s">
        <v>11</v>
      </c>
      <c r="C8" s="22" t="s">
        <v>21</v>
      </c>
      <c r="D8" s="22" t="s">
        <v>13</v>
      </c>
      <c r="E8" s="22">
        <v>1427.23</v>
      </c>
      <c r="F8" s="22">
        <v>2</v>
      </c>
      <c r="G8" s="22">
        <v>0.2</v>
      </c>
      <c r="H8" s="23">
        <v>45398</v>
      </c>
      <c r="I8" s="22">
        <v>985.31</v>
      </c>
      <c r="J8" s="22" t="str">
        <f>TEXT(Table1[[#This Row],[Order_Date]],"MMM")</f>
        <v>Apr</v>
      </c>
      <c r="P8" s="27" t="s">
        <v>59</v>
      </c>
      <c r="Q8" s="27">
        <v>0.59612276578617018</v>
      </c>
      <c r="R8" s="27"/>
      <c r="S8" s="27"/>
      <c r="T8" s="27"/>
      <c r="U8" s="27"/>
      <c r="V8" s="27"/>
      <c r="W8" s="27"/>
      <c r="X8" s="27"/>
    </row>
    <row r="9" spans="1:24" ht="14.4" x14ac:dyDescent="0.3">
      <c r="A9" s="22" t="s">
        <v>20</v>
      </c>
      <c r="B9" s="22" t="s">
        <v>15</v>
      </c>
      <c r="C9" s="22" t="s">
        <v>21</v>
      </c>
      <c r="D9" s="22" t="s">
        <v>16</v>
      </c>
      <c r="E9" s="22">
        <v>1492.42</v>
      </c>
      <c r="F9" s="24">
        <v>4</v>
      </c>
      <c r="G9" s="22">
        <v>0.2</v>
      </c>
      <c r="H9" s="23">
        <v>45399</v>
      </c>
      <c r="I9" s="22">
        <v>1094.27</v>
      </c>
      <c r="J9" s="22" t="str">
        <f>TEXT(Table1[[#This Row],[Order_Date]],"MMM")</f>
        <v>Apr</v>
      </c>
      <c r="P9" s="27" t="s">
        <v>60</v>
      </c>
      <c r="Q9" s="27">
        <v>190.19247302285618</v>
      </c>
      <c r="R9" s="27"/>
      <c r="S9" s="27"/>
      <c r="T9" s="27"/>
      <c r="U9" s="27"/>
      <c r="V9" s="27"/>
      <c r="W9" s="27"/>
      <c r="X9" s="27"/>
    </row>
    <row r="10" spans="1:24" ht="14.4" x14ac:dyDescent="0.3">
      <c r="A10" s="22" t="s">
        <v>101</v>
      </c>
      <c r="B10" s="22" t="s">
        <v>11</v>
      </c>
      <c r="C10" s="22" t="s">
        <v>21</v>
      </c>
      <c r="D10" s="22" t="s">
        <v>13</v>
      </c>
      <c r="E10" s="22">
        <v>1557.61</v>
      </c>
      <c r="F10" s="24">
        <v>3</v>
      </c>
      <c r="G10" s="22">
        <v>0.2</v>
      </c>
      <c r="H10" s="23">
        <v>45400</v>
      </c>
      <c r="I10" s="22">
        <v>1203.23</v>
      </c>
      <c r="J10" s="22" t="str">
        <f>TEXT(Table1[[#This Row],[Order_Date]],"MMM")</f>
        <v>Apr</v>
      </c>
      <c r="N10" s="3"/>
      <c r="P10" s="27" t="s">
        <v>61</v>
      </c>
      <c r="Q10" s="27">
        <v>200</v>
      </c>
      <c r="R10" s="27"/>
      <c r="S10" s="27"/>
      <c r="T10" s="27"/>
      <c r="U10" s="27"/>
      <c r="V10" s="27"/>
      <c r="W10" s="27"/>
      <c r="X10" s="27"/>
    </row>
    <row r="11" spans="1:24" ht="14.4" x14ac:dyDescent="0.3">
      <c r="A11" s="22" t="s">
        <v>102</v>
      </c>
      <c r="B11" s="22" t="s">
        <v>15</v>
      </c>
      <c r="C11" s="22" t="s">
        <v>21</v>
      </c>
      <c r="D11" s="22" t="s">
        <v>16</v>
      </c>
      <c r="E11" s="22">
        <v>1622.8</v>
      </c>
      <c r="F11" s="24">
        <v>17</v>
      </c>
      <c r="G11" s="22">
        <v>0.2</v>
      </c>
      <c r="H11" s="23">
        <v>45401</v>
      </c>
      <c r="I11" s="22">
        <v>1312.19</v>
      </c>
      <c r="J11" s="22" t="str">
        <f>TEXT(Table1[[#This Row],[Order_Date]],"MMM")</f>
        <v>Apr</v>
      </c>
      <c r="P11" s="27"/>
      <c r="Q11" s="27"/>
      <c r="R11" s="27"/>
      <c r="S11" s="27"/>
      <c r="T11" s="27"/>
      <c r="U11" s="27"/>
      <c r="V11" s="27"/>
      <c r="W11" s="27"/>
      <c r="X11" s="27"/>
    </row>
    <row r="12" spans="1:24" ht="14.4" x14ac:dyDescent="0.3">
      <c r="A12" s="22" t="s">
        <v>103</v>
      </c>
      <c r="B12" s="22" t="s">
        <v>11</v>
      </c>
      <c r="C12" s="22" t="s">
        <v>21</v>
      </c>
      <c r="D12" s="22" t="s">
        <v>13</v>
      </c>
      <c r="E12" s="22">
        <v>1687.99</v>
      </c>
      <c r="F12" s="24">
        <v>4</v>
      </c>
      <c r="G12" s="22">
        <v>0.2</v>
      </c>
      <c r="H12" s="23">
        <v>45402</v>
      </c>
      <c r="I12" s="22">
        <v>1421.15</v>
      </c>
      <c r="J12" s="22" t="str">
        <f>TEXT(Table1[[#This Row],[Order_Date]],"MMM")</f>
        <v>Apr</v>
      </c>
      <c r="P12" s="26" t="s">
        <v>62</v>
      </c>
      <c r="Q12" s="27"/>
      <c r="R12" s="27"/>
      <c r="S12" s="27"/>
      <c r="T12" s="27"/>
      <c r="U12" s="27"/>
      <c r="V12" s="27"/>
      <c r="W12" s="27"/>
      <c r="X12" s="27"/>
    </row>
    <row r="13" spans="1:24" ht="14.4" x14ac:dyDescent="0.3">
      <c r="A13" s="22" t="s">
        <v>104</v>
      </c>
      <c r="B13" s="22" t="s">
        <v>15</v>
      </c>
      <c r="C13" s="22" t="s">
        <v>21</v>
      </c>
      <c r="D13" s="22" t="s">
        <v>16</v>
      </c>
      <c r="E13" s="22">
        <v>1753.18</v>
      </c>
      <c r="F13" s="24">
        <v>12</v>
      </c>
      <c r="G13" s="22">
        <v>0.2</v>
      </c>
      <c r="H13" s="23">
        <v>45403</v>
      </c>
      <c r="I13" s="22">
        <v>1530.11</v>
      </c>
      <c r="J13" s="22" t="str">
        <f>TEXT(Table1[[#This Row],[Order_Date]],"MMM")</f>
        <v>Apr</v>
      </c>
      <c r="P13" s="32"/>
      <c r="Q13" s="32" t="s">
        <v>67</v>
      </c>
      <c r="R13" s="32" t="s">
        <v>68</v>
      </c>
      <c r="S13" s="32" t="s">
        <v>69</v>
      </c>
      <c r="T13" s="32" t="s">
        <v>70</v>
      </c>
      <c r="U13" s="32" t="s">
        <v>71</v>
      </c>
      <c r="V13" s="27"/>
      <c r="W13" s="27"/>
      <c r="X13" s="27"/>
    </row>
    <row r="14" spans="1:24" ht="14.4" x14ac:dyDescent="0.3">
      <c r="A14" s="22" t="s">
        <v>105</v>
      </c>
      <c r="B14" s="22" t="s">
        <v>11</v>
      </c>
      <c r="C14" s="22" t="s">
        <v>21</v>
      </c>
      <c r="D14" s="22" t="s">
        <v>13</v>
      </c>
      <c r="E14" s="22">
        <v>1818.37</v>
      </c>
      <c r="F14" s="24">
        <v>8</v>
      </c>
      <c r="G14" s="22">
        <v>0.2</v>
      </c>
      <c r="H14" s="23">
        <v>45404</v>
      </c>
      <c r="I14" s="22">
        <v>1639.07</v>
      </c>
      <c r="J14" s="22" t="str">
        <f>TEXT(Table1[[#This Row],[Order_Date]],"MMM")</f>
        <v>Apr</v>
      </c>
      <c r="P14" s="27" t="s">
        <v>63</v>
      </c>
      <c r="Q14" s="27">
        <v>1</v>
      </c>
      <c r="R14" s="27">
        <v>10661102.788791124</v>
      </c>
      <c r="S14" s="27">
        <v>10661102.788791124</v>
      </c>
      <c r="T14" s="27">
        <v>294.72398427548137</v>
      </c>
      <c r="U14" s="27">
        <v>4.6269367558908521E-41</v>
      </c>
      <c r="V14" s="27"/>
      <c r="W14" s="27"/>
      <c r="X14" s="27"/>
    </row>
    <row r="15" spans="1:24" ht="14.4" x14ac:dyDescent="0.3">
      <c r="A15" s="22" t="s">
        <v>106</v>
      </c>
      <c r="B15" s="22" t="s">
        <v>15</v>
      </c>
      <c r="C15" s="22" t="s">
        <v>21</v>
      </c>
      <c r="D15" s="22" t="s">
        <v>16</v>
      </c>
      <c r="E15" s="22">
        <v>1883.56</v>
      </c>
      <c r="F15" s="24">
        <v>12</v>
      </c>
      <c r="G15" s="22">
        <v>0.2</v>
      </c>
      <c r="H15" s="23">
        <v>45405</v>
      </c>
      <c r="I15" s="22">
        <v>1748.03</v>
      </c>
      <c r="J15" s="22" t="str">
        <f>TEXT(Table1[[#This Row],[Order_Date]],"MMM")</f>
        <v>Apr</v>
      </c>
      <c r="P15" s="27" t="s">
        <v>64</v>
      </c>
      <c r="Q15" s="27">
        <v>198</v>
      </c>
      <c r="R15" s="27">
        <v>7162289.005320874</v>
      </c>
      <c r="S15" s="27">
        <v>36173.176794549872</v>
      </c>
      <c r="T15" s="27"/>
      <c r="U15" s="27"/>
      <c r="V15" s="27"/>
      <c r="W15" s="27"/>
      <c r="X15" s="27"/>
    </row>
    <row r="16" spans="1:24" ht="14.4" x14ac:dyDescent="0.3">
      <c r="A16" s="22" t="s">
        <v>107</v>
      </c>
      <c r="B16" s="22" t="s">
        <v>11</v>
      </c>
      <c r="C16" s="22" t="s">
        <v>21</v>
      </c>
      <c r="D16" s="22" t="s">
        <v>13</v>
      </c>
      <c r="E16" s="22">
        <v>1948.75</v>
      </c>
      <c r="F16" s="24">
        <v>6</v>
      </c>
      <c r="G16" s="22">
        <v>0.2</v>
      </c>
      <c r="H16" s="23">
        <v>45406</v>
      </c>
      <c r="I16" s="22">
        <v>1856.99</v>
      </c>
      <c r="J16" s="22" t="str">
        <f>TEXT(Table1[[#This Row],[Order_Date]],"MMM")</f>
        <v>Apr</v>
      </c>
      <c r="P16" s="27" t="s">
        <v>65</v>
      </c>
      <c r="Q16" s="27">
        <v>199</v>
      </c>
      <c r="R16" s="27">
        <v>17823391.794111997</v>
      </c>
      <c r="S16" s="27"/>
      <c r="T16" s="27"/>
      <c r="U16" s="27"/>
      <c r="V16" s="27"/>
      <c r="W16" s="27"/>
      <c r="X16" s="27"/>
    </row>
    <row r="17" spans="1:24" ht="14.4" x14ac:dyDescent="0.3">
      <c r="A17" s="22" t="s">
        <v>108</v>
      </c>
      <c r="B17" s="22" t="s">
        <v>15</v>
      </c>
      <c r="C17" s="22" t="s">
        <v>21</v>
      </c>
      <c r="D17" s="22" t="s">
        <v>16</v>
      </c>
      <c r="E17" s="22">
        <v>2013.94</v>
      </c>
      <c r="F17" s="24">
        <v>11</v>
      </c>
      <c r="G17" s="22">
        <v>0.2</v>
      </c>
      <c r="H17" s="23">
        <v>45407</v>
      </c>
      <c r="I17" s="22">
        <v>1965.95</v>
      </c>
      <c r="J17" s="22" t="str">
        <f>TEXT(Table1[[#This Row],[Order_Date]],"MMM")</f>
        <v>Apr</v>
      </c>
      <c r="P17" s="27"/>
      <c r="Q17" s="27"/>
      <c r="R17" s="27"/>
      <c r="S17" s="27"/>
      <c r="T17" s="27"/>
      <c r="U17" s="27"/>
      <c r="V17" s="27"/>
      <c r="W17" s="27"/>
      <c r="X17" s="27"/>
    </row>
    <row r="18" spans="1:24" ht="14.4" x14ac:dyDescent="0.3">
      <c r="A18" s="22" t="s">
        <v>109</v>
      </c>
      <c r="B18" s="22" t="s">
        <v>11</v>
      </c>
      <c r="C18" s="22" t="s">
        <v>21</v>
      </c>
      <c r="D18" s="22" t="s">
        <v>13</v>
      </c>
      <c r="E18" s="22">
        <v>2079.13</v>
      </c>
      <c r="F18" s="24">
        <v>2</v>
      </c>
      <c r="G18" s="22">
        <v>0.2</v>
      </c>
      <c r="H18" s="23">
        <v>45408</v>
      </c>
      <c r="I18" s="22">
        <v>2074.91</v>
      </c>
      <c r="J18" s="22" t="str">
        <f>TEXT(Table1[[#This Row],[Order_Date]],"MMM")</f>
        <v>Apr</v>
      </c>
      <c r="P18" s="32"/>
      <c r="Q18" s="32" t="s">
        <v>72</v>
      </c>
      <c r="R18" s="32" t="s">
        <v>60</v>
      </c>
      <c r="S18" s="32" t="s">
        <v>73</v>
      </c>
      <c r="T18" s="32" t="s">
        <v>74</v>
      </c>
      <c r="U18" s="32" t="s">
        <v>75</v>
      </c>
      <c r="V18" s="32" t="s">
        <v>76</v>
      </c>
      <c r="W18" s="32" t="s">
        <v>77</v>
      </c>
      <c r="X18" s="32" t="s">
        <v>78</v>
      </c>
    </row>
    <row r="19" spans="1:24" ht="14.4" x14ac:dyDescent="0.3">
      <c r="A19" s="22" t="s">
        <v>110</v>
      </c>
      <c r="B19" s="22" t="s">
        <v>15</v>
      </c>
      <c r="C19" s="22" t="s">
        <v>12</v>
      </c>
      <c r="D19" s="22" t="s">
        <v>16</v>
      </c>
      <c r="E19" s="22">
        <v>2144.3200000000002</v>
      </c>
      <c r="F19" s="24">
        <v>6</v>
      </c>
      <c r="G19" s="22">
        <v>0.2</v>
      </c>
      <c r="H19" s="23">
        <v>45409</v>
      </c>
      <c r="I19" s="22">
        <v>2183.87</v>
      </c>
      <c r="J19" s="22" t="str">
        <f>TEXT(Table1[[#This Row],[Order_Date]],"MMM")</f>
        <v>Apr</v>
      </c>
      <c r="P19" s="27" t="s">
        <v>66</v>
      </c>
      <c r="Q19" s="27">
        <v>393.99766516951786</v>
      </c>
      <c r="R19" s="27">
        <v>36.476267980965957</v>
      </c>
      <c r="S19" s="27">
        <v>10.80147961888847</v>
      </c>
      <c r="T19" s="27">
        <v>1.1137843314422145E-21</v>
      </c>
      <c r="U19" s="27">
        <v>322.06582718481212</v>
      </c>
      <c r="V19" s="27">
        <v>465.9295031542236</v>
      </c>
      <c r="W19" s="27">
        <v>322.06582718481212</v>
      </c>
      <c r="X19" s="27">
        <v>465.9295031542236</v>
      </c>
    </row>
    <row r="20" spans="1:24" ht="14.4" x14ac:dyDescent="0.3">
      <c r="A20" s="22" t="s">
        <v>111</v>
      </c>
      <c r="B20" s="22" t="s">
        <v>11</v>
      </c>
      <c r="C20" s="22" t="s">
        <v>12</v>
      </c>
      <c r="D20" s="22" t="s">
        <v>13</v>
      </c>
      <c r="E20" s="22">
        <v>2209.5100000000002</v>
      </c>
      <c r="F20" s="24">
        <v>14</v>
      </c>
      <c r="G20" s="22">
        <v>0.2</v>
      </c>
      <c r="H20" s="23">
        <v>45410</v>
      </c>
      <c r="I20" s="22">
        <v>2292.83</v>
      </c>
      <c r="J20" s="22" t="str">
        <f>TEXT(Table1[[#This Row],[Order_Date]],"MMM")</f>
        <v>Apr</v>
      </c>
      <c r="P20" s="27" t="s">
        <v>79</v>
      </c>
      <c r="Q20" s="27">
        <v>1.7048370834525679</v>
      </c>
      <c r="R20" s="27">
        <v>9.9305921034454653E-2</v>
      </c>
      <c r="S20" s="27">
        <v>17.167527028535051</v>
      </c>
      <c r="T20" s="27">
        <v>4.6269367558907205E-41</v>
      </c>
      <c r="U20" s="27">
        <v>1.5090040715199911</v>
      </c>
      <c r="V20" s="27">
        <v>1.9006700953851448</v>
      </c>
      <c r="W20" s="27">
        <v>1.5090040715199911</v>
      </c>
      <c r="X20" s="27">
        <v>1.9006700953851448</v>
      </c>
    </row>
    <row r="21" spans="1:24" ht="15.75" customHeight="1" x14ac:dyDescent="0.3">
      <c r="A21" s="22" t="s">
        <v>112</v>
      </c>
      <c r="B21" s="22" t="s">
        <v>15</v>
      </c>
      <c r="C21" s="22" t="s">
        <v>12</v>
      </c>
      <c r="D21" s="22" t="s">
        <v>16</v>
      </c>
      <c r="E21" s="22">
        <v>2274.6999999999998</v>
      </c>
      <c r="F21" s="24">
        <v>14</v>
      </c>
      <c r="G21" s="22">
        <v>0.2</v>
      </c>
      <c r="H21" s="23">
        <v>45411</v>
      </c>
      <c r="I21" s="22">
        <v>2401.79</v>
      </c>
      <c r="J21" s="22" t="str">
        <f>TEXT(Table1[[#This Row],[Order_Date]],"MMM")</f>
        <v>Apr</v>
      </c>
    </row>
    <row r="22" spans="1:24" ht="15.75" customHeight="1" x14ac:dyDescent="0.3">
      <c r="A22" s="22" t="s">
        <v>113</v>
      </c>
      <c r="B22" s="22" t="s">
        <v>11</v>
      </c>
      <c r="C22" s="22" t="s">
        <v>12</v>
      </c>
      <c r="D22" s="22" t="s">
        <v>13</v>
      </c>
      <c r="E22" s="22">
        <v>2339.89</v>
      </c>
      <c r="F22" s="24">
        <v>7</v>
      </c>
      <c r="G22" s="22">
        <v>0.2</v>
      </c>
      <c r="H22" s="23">
        <v>45412</v>
      </c>
      <c r="I22" s="22">
        <v>2510.75</v>
      </c>
      <c r="J22" s="22" t="str">
        <f>TEXT(Table1[[#This Row],[Order_Date]],"MMM")</f>
        <v>Apr</v>
      </c>
      <c r="L22" s="41" t="s">
        <v>98</v>
      </c>
      <c r="M22" s="41"/>
      <c r="N22" s="41"/>
      <c r="O22" s="33"/>
    </row>
    <row r="23" spans="1:24" ht="15.75" customHeight="1" x14ac:dyDescent="0.3">
      <c r="A23" s="22" t="s">
        <v>114</v>
      </c>
      <c r="B23" s="22" t="s">
        <v>15</v>
      </c>
      <c r="C23" s="22" t="s">
        <v>12</v>
      </c>
      <c r="D23" s="22" t="s">
        <v>16</v>
      </c>
      <c r="E23" s="22">
        <v>2405.08</v>
      </c>
      <c r="F23" s="24">
        <v>15</v>
      </c>
      <c r="G23" s="22">
        <v>0.2</v>
      </c>
      <c r="H23" s="23">
        <v>45413</v>
      </c>
      <c r="I23" s="22">
        <v>2619.71</v>
      </c>
      <c r="J23" s="22" t="str">
        <f>TEXT(Table1[[#This Row],[Order_Date]],"MMM")</f>
        <v>May</v>
      </c>
      <c r="L23" s="27"/>
      <c r="M23" s="27" t="s">
        <v>99</v>
      </c>
      <c r="N23" s="27"/>
      <c r="O23" s="33"/>
    </row>
    <row r="24" spans="1:24" ht="15.75" customHeight="1" x14ac:dyDescent="0.3">
      <c r="A24" s="22" t="s">
        <v>115</v>
      </c>
      <c r="B24" s="22" t="s">
        <v>11</v>
      </c>
      <c r="C24" s="22" t="s">
        <v>12</v>
      </c>
      <c r="D24" s="22" t="s">
        <v>13</v>
      </c>
      <c r="E24" s="22">
        <v>2470.27</v>
      </c>
      <c r="F24" s="24">
        <v>14</v>
      </c>
      <c r="G24" s="22">
        <v>0.2</v>
      </c>
      <c r="H24" s="23">
        <v>45414</v>
      </c>
      <c r="I24" s="22">
        <v>2728.67</v>
      </c>
      <c r="J24" s="22" t="str">
        <f>TEXT(Table1[[#This Row],[Order_Date]],"MMM")</f>
        <v>May</v>
      </c>
      <c r="L24" s="27"/>
      <c r="M24" s="27" t="str">
        <f>INDEX(Table1[Customer_Name],MATCH(MAX(Table1[Sales]),Table1[Sales]))</f>
        <v>Robert Anderson</v>
      </c>
      <c r="N24" s="27"/>
      <c r="O24" s="33"/>
    </row>
    <row r="25" spans="1:24" ht="15.75" customHeight="1" x14ac:dyDescent="0.3">
      <c r="A25" s="22" t="s">
        <v>116</v>
      </c>
      <c r="B25" s="22" t="s">
        <v>15</v>
      </c>
      <c r="C25" s="22" t="s">
        <v>12</v>
      </c>
      <c r="D25" s="22" t="s">
        <v>16</v>
      </c>
      <c r="E25" s="22">
        <v>2535.46</v>
      </c>
      <c r="F25" s="24">
        <v>10</v>
      </c>
      <c r="G25" s="22">
        <v>0.2</v>
      </c>
      <c r="H25" s="23">
        <v>45415</v>
      </c>
      <c r="I25" s="22">
        <v>2837.63</v>
      </c>
      <c r="J25" s="22" t="str">
        <f>TEXT(Table1[[#This Row],[Order_Date]],"MMM")</f>
        <v>May</v>
      </c>
      <c r="L25" s="33"/>
      <c r="M25" s="33"/>
      <c r="N25" s="33"/>
      <c r="O25" s="33"/>
    </row>
    <row r="26" spans="1:24" ht="15.75" customHeight="1" x14ac:dyDescent="0.3">
      <c r="A26" s="22" t="s">
        <v>117</v>
      </c>
      <c r="B26" s="22" t="s">
        <v>11</v>
      </c>
      <c r="C26" s="22" t="s">
        <v>12</v>
      </c>
      <c r="D26" s="22" t="s">
        <v>13</v>
      </c>
      <c r="E26" s="22">
        <v>2600.65</v>
      </c>
      <c r="F26" s="24">
        <v>4</v>
      </c>
      <c r="G26" s="22">
        <v>0.2</v>
      </c>
      <c r="H26" s="23">
        <v>45416</v>
      </c>
      <c r="I26" s="22">
        <v>2946.59</v>
      </c>
      <c r="J26" s="22" t="str">
        <f>TEXT(Table1[[#This Row],[Order_Date]],"MMM")</f>
        <v>May</v>
      </c>
      <c r="L26" s="33"/>
      <c r="M26" s="33"/>
      <c r="N26" s="33"/>
      <c r="O26" s="33"/>
    </row>
    <row r="27" spans="1:24" ht="15.75" customHeight="1" x14ac:dyDescent="0.3">
      <c r="A27" s="22" t="s">
        <v>118</v>
      </c>
      <c r="B27" s="22" t="s">
        <v>15</v>
      </c>
      <c r="C27" s="22" t="s">
        <v>12</v>
      </c>
      <c r="D27" s="22" t="s">
        <v>16</v>
      </c>
      <c r="E27" s="22">
        <v>2665.84</v>
      </c>
      <c r="F27" s="24">
        <v>13</v>
      </c>
      <c r="G27" s="22">
        <v>0.2</v>
      </c>
      <c r="H27" s="23">
        <v>45417</v>
      </c>
      <c r="I27" s="22">
        <v>3055.55</v>
      </c>
      <c r="J27" s="22" t="str">
        <f>TEXT(Table1[[#This Row],[Order_Date]],"MMM")</f>
        <v>May</v>
      </c>
      <c r="L27" s="33"/>
      <c r="M27" s="33"/>
      <c r="N27" s="33"/>
      <c r="O27" s="33"/>
    </row>
    <row r="28" spans="1:24" ht="15.75" customHeight="1" x14ac:dyDescent="0.3">
      <c r="A28" s="22" t="s">
        <v>119</v>
      </c>
      <c r="B28" s="22" t="s">
        <v>11</v>
      </c>
      <c r="C28" s="22" t="s">
        <v>12</v>
      </c>
      <c r="D28" s="22" t="s">
        <v>13</v>
      </c>
      <c r="E28" s="22">
        <v>2731.03</v>
      </c>
      <c r="F28" s="24">
        <v>4</v>
      </c>
      <c r="G28" s="22">
        <v>0.2</v>
      </c>
      <c r="H28" s="23">
        <v>45418</v>
      </c>
      <c r="I28" s="22">
        <v>3164.51</v>
      </c>
      <c r="J28" s="22" t="str">
        <f>TEXT(Table1[[#This Row],[Order_Date]],"MMM")</f>
        <v>May</v>
      </c>
      <c r="L28" s="33"/>
      <c r="M28" s="38" t="s">
        <v>97</v>
      </c>
      <c r="N28" s="39"/>
      <c r="O28" s="40"/>
      <c r="Q28" s="42" t="s">
        <v>293</v>
      </c>
      <c r="R28" s="42"/>
      <c r="S28" s="42"/>
    </row>
    <row r="29" spans="1:24" ht="15.75" customHeight="1" x14ac:dyDescent="0.3">
      <c r="A29" s="22" t="s">
        <v>120</v>
      </c>
      <c r="B29" s="22" t="s">
        <v>15</v>
      </c>
      <c r="C29" s="22" t="s">
        <v>12</v>
      </c>
      <c r="D29" s="22" t="s">
        <v>16</v>
      </c>
      <c r="E29" s="22">
        <v>2796.22</v>
      </c>
      <c r="F29" s="24">
        <v>11</v>
      </c>
      <c r="G29" s="22">
        <v>0.2</v>
      </c>
      <c r="H29" s="23">
        <v>45419</v>
      </c>
      <c r="I29" s="22">
        <v>3273.47</v>
      </c>
      <c r="J29" s="22" t="str">
        <f>TEXT(Table1[[#This Row],[Order_Date]],"MMM")</f>
        <v>May</v>
      </c>
      <c r="L29" s="33"/>
      <c r="M29" s="27" t="s">
        <v>95</v>
      </c>
      <c r="N29" s="27" t="s">
        <v>96</v>
      </c>
      <c r="O29" s="27"/>
      <c r="Q29" s="28" t="s">
        <v>294</v>
      </c>
      <c r="R29" s="27" t="s">
        <v>301</v>
      </c>
      <c r="S29" s="28"/>
    </row>
    <row r="30" spans="1:24" ht="15.75" customHeight="1" x14ac:dyDescent="0.3">
      <c r="A30" s="22" t="s">
        <v>121</v>
      </c>
      <c r="B30" s="22" t="s">
        <v>11</v>
      </c>
      <c r="C30" s="22" t="s">
        <v>12</v>
      </c>
      <c r="D30" s="22" t="s">
        <v>13</v>
      </c>
      <c r="E30" s="22">
        <v>2861.41</v>
      </c>
      <c r="F30" s="24">
        <v>14</v>
      </c>
      <c r="G30" s="22">
        <v>0.2</v>
      </c>
      <c r="H30" s="23">
        <v>45420</v>
      </c>
      <c r="I30" s="22">
        <v>3382.43</v>
      </c>
      <c r="J30" s="22" t="str">
        <f>TEXT(Table1[[#This Row],[Order_Date]],"MMM")</f>
        <v>May</v>
      </c>
      <c r="L30" s="33"/>
      <c r="M30" s="27" t="s">
        <v>83</v>
      </c>
      <c r="N30" s="27">
        <f>SUMIF(Table1[MONTH],"Jan",Table1[Sales])</f>
        <v>0</v>
      </c>
      <c r="O30" s="27"/>
      <c r="Q30" s="28" t="s">
        <v>295</v>
      </c>
      <c r="R30" s="28">
        <v>100</v>
      </c>
      <c r="S30" s="28"/>
    </row>
    <row r="31" spans="1:24" ht="15.75" customHeight="1" x14ac:dyDescent="0.3">
      <c r="A31" s="22" t="s">
        <v>122</v>
      </c>
      <c r="B31" s="22" t="s">
        <v>15</v>
      </c>
      <c r="C31" s="22" t="s">
        <v>12</v>
      </c>
      <c r="D31" s="22" t="s">
        <v>16</v>
      </c>
      <c r="E31" s="22">
        <v>2926.6</v>
      </c>
      <c r="F31" s="24">
        <v>9</v>
      </c>
      <c r="G31" s="22">
        <v>0.2</v>
      </c>
      <c r="H31" s="23">
        <v>45421</v>
      </c>
      <c r="I31" s="22">
        <v>3491.39</v>
      </c>
      <c r="J31" s="22" t="str">
        <f>TEXT(Table1[[#This Row],[Order_Date]],"MMM")</f>
        <v>May</v>
      </c>
      <c r="L31" s="33"/>
      <c r="M31" s="27" t="s">
        <v>84</v>
      </c>
      <c r="N31" s="27">
        <f>SUMIF(Table1[MONTH],"Feb",Table1[Sales])</f>
        <v>0</v>
      </c>
      <c r="O31" s="27"/>
      <c r="Q31" s="28" t="s">
        <v>296</v>
      </c>
      <c r="R31" s="28">
        <v>650</v>
      </c>
      <c r="S31" s="28"/>
    </row>
    <row r="32" spans="1:24" ht="15.75" customHeight="1" x14ac:dyDescent="0.3">
      <c r="A32" s="22" t="s">
        <v>123</v>
      </c>
      <c r="B32" s="22" t="s">
        <v>11</v>
      </c>
      <c r="C32" s="22" t="s">
        <v>18</v>
      </c>
      <c r="D32" s="22" t="s">
        <v>13</v>
      </c>
      <c r="E32" s="22">
        <v>2991.79</v>
      </c>
      <c r="F32" s="24">
        <v>6</v>
      </c>
      <c r="G32" s="22">
        <v>0.2</v>
      </c>
      <c r="H32" s="23">
        <v>45422</v>
      </c>
      <c r="I32" s="22">
        <v>3600.35</v>
      </c>
      <c r="J32" s="22" t="str">
        <f>TEXT(Table1[[#This Row],[Order_Date]],"MMM")</f>
        <v>May</v>
      </c>
      <c r="L32" s="33"/>
      <c r="M32" s="27" t="s">
        <v>85</v>
      </c>
      <c r="N32" s="27">
        <f>SUMIF(Table1[MONTH],"Mar",Table1[Sales])</f>
        <v>0</v>
      </c>
      <c r="O32" s="27"/>
      <c r="Q32" s="28" t="s">
        <v>297</v>
      </c>
      <c r="R32" s="28">
        <f>R31*R30</f>
        <v>65000</v>
      </c>
      <c r="S32" s="28"/>
      <c r="V32" s="43"/>
    </row>
    <row r="33" spans="1:19" ht="15.75" customHeight="1" x14ac:dyDescent="0.3">
      <c r="A33" s="22" t="s">
        <v>124</v>
      </c>
      <c r="B33" s="22" t="s">
        <v>15</v>
      </c>
      <c r="C33" s="22" t="s">
        <v>18</v>
      </c>
      <c r="D33" s="22" t="s">
        <v>16</v>
      </c>
      <c r="E33" s="22">
        <v>3056.98</v>
      </c>
      <c r="F33" s="24">
        <v>8</v>
      </c>
      <c r="G33" s="22">
        <v>0.2</v>
      </c>
      <c r="H33" s="23">
        <v>45423</v>
      </c>
      <c r="I33" s="22">
        <v>3709.31</v>
      </c>
      <c r="J33" s="22" t="str">
        <f>TEXT(Table1[[#This Row],[Order_Date]],"MMM")</f>
        <v>May</v>
      </c>
      <c r="L33" s="33"/>
      <c r="M33" s="27" t="s">
        <v>86</v>
      </c>
      <c r="N33" s="27">
        <f>SUMIF(Table1[MONTH],"Apr",Table1[Sales])</f>
        <v>35447.789999999994</v>
      </c>
      <c r="O33" s="27"/>
      <c r="Q33" s="28" t="s">
        <v>298</v>
      </c>
      <c r="R33" s="29">
        <v>0.05</v>
      </c>
      <c r="S33" s="28"/>
    </row>
    <row r="34" spans="1:19" ht="15.75" customHeight="1" x14ac:dyDescent="0.3">
      <c r="A34" s="22" t="s">
        <v>125</v>
      </c>
      <c r="B34" s="22" t="s">
        <v>11</v>
      </c>
      <c r="C34" s="22" t="s">
        <v>18</v>
      </c>
      <c r="D34" s="22" t="s">
        <v>13</v>
      </c>
      <c r="E34" s="22">
        <v>3122.17</v>
      </c>
      <c r="F34" s="24">
        <v>18</v>
      </c>
      <c r="G34" s="22">
        <v>0.2</v>
      </c>
      <c r="H34" s="23">
        <v>45424</v>
      </c>
      <c r="I34" s="22">
        <v>3818.27</v>
      </c>
      <c r="J34" s="22" t="str">
        <f>TEXT(Table1[[#This Row],[Order_Date]],"MMM")</f>
        <v>May</v>
      </c>
      <c r="L34" s="33"/>
      <c r="M34" s="27" t="s">
        <v>87</v>
      </c>
      <c r="N34" s="27">
        <f>SUMIF(Table1[MONTH],"May",Table1[Sales])</f>
        <v>104870.83</v>
      </c>
      <c r="O34" s="27"/>
      <c r="Q34" s="28" t="s">
        <v>299</v>
      </c>
      <c r="R34" s="37">
        <f>R32-R33</f>
        <v>64999.95</v>
      </c>
      <c r="S34" s="28"/>
    </row>
    <row r="35" spans="1:19" ht="15.75" customHeight="1" x14ac:dyDescent="0.3">
      <c r="A35" s="22" t="s">
        <v>126</v>
      </c>
      <c r="B35" s="22" t="s">
        <v>15</v>
      </c>
      <c r="C35" s="22" t="s">
        <v>18</v>
      </c>
      <c r="D35" s="22" t="s">
        <v>16</v>
      </c>
      <c r="E35" s="22">
        <v>3187.36</v>
      </c>
      <c r="F35" s="24">
        <v>17</v>
      </c>
      <c r="G35" s="22">
        <v>0.2</v>
      </c>
      <c r="H35" s="23">
        <v>45425</v>
      </c>
      <c r="I35" s="22">
        <v>3927.23</v>
      </c>
      <c r="J35" s="22" t="str">
        <f>TEXT(Table1[[#This Row],[Order_Date]],"MMM")</f>
        <v>May</v>
      </c>
      <c r="L35" s="33"/>
      <c r="M35" s="27" t="s">
        <v>88</v>
      </c>
      <c r="N35" s="27">
        <f>SUMIF(Table1[MONTH],"Jun",Table1[Sales])</f>
        <v>161136.75000000003</v>
      </c>
      <c r="O35" s="27"/>
      <c r="Q35" s="28" t="s">
        <v>300</v>
      </c>
      <c r="R35" s="28">
        <f>R32-R34</f>
        <v>5.0000000002910383E-2</v>
      </c>
      <c r="S35" s="28"/>
    </row>
    <row r="36" spans="1:19" ht="15.75" customHeight="1" x14ac:dyDescent="0.3">
      <c r="A36" s="22" t="s">
        <v>127</v>
      </c>
      <c r="B36" s="22" t="s">
        <v>11</v>
      </c>
      <c r="C36" s="22" t="s">
        <v>18</v>
      </c>
      <c r="D36" s="22" t="s">
        <v>13</v>
      </c>
      <c r="E36" s="22">
        <v>3252.55</v>
      </c>
      <c r="F36" s="24">
        <v>2</v>
      </c>
      <c r="G36" s="22">
        <v>0.2</v>
      </c>
      <c r="H36" s="23">
        <v>45426</v>
      </c>
      <c r="I36" s="22">
        <v>4036.19</v>
      </c>
      <c r="J36" s="22" t="str">
        <f>TEXT(Table1[[#This Row],[Order_Date]],"MMM")</f>
        <v>May</v>
      </c>
      <c r="L36" s="33"/>
      <c r="M36" s="27" t="s">
        <v>89</v>
      </c>
      <c r="N36" s="27">
        <f>SUMIF(Table1[MONTH],"Jul",Table1[Sales])</f>
        <v>228145.12000000017</v>
      </c>
      <c r="O36" s="27"/>
    </row>
    <row r="37" spans="1:19" ht="15.75" customHeight="1" x14ac:dyDescent="0.3">
      <c r="A37" s="22" t="s">
        <v>128</v>
      </c>
      <c r="B37" s="22" t="s">
        <v>15</v>
      </c>
      <c r="C37" s="22" t="s">
        <v>18</v>
      </c>
      <c r="D37" s="22" t="s">
        <v>16</v>
      </c>
      <c r="E37" s="22">
        <v>3317.74</v>
      </c>
      <c r="F37" s="24">
        <v>19</v>
      </c>
      <c r="G37" s="22">
        <v>0.2</v>
      </c>
      <c r="H37" s="23">
        <v>45427</v>
      </c>
      <c r="I37" s="22">
        <v>4145.1499999999996</v>
      </c>
      <c r="J37" s="22" t="str">
        <f>TEXT(Table1[[#This Row],[Order_Date]],"MMM")</f>
        <v>May</v>
      </c>
      <c r="L37" s="33"/>
      <c r="M37" s="27" t="s">
        <v>90</v>
      </c>
      <c r="N37" s="27">
        <f>SUMIF(Table1[MONTH],"Aug",Table1[Sales])</f>
        <v>290792.71000000031</v>
      </c>
      <c r="O37" s="27"/>
    </row>
    <row r="38" spans="1:19" ht="15.75" customHeight="1" x14ac:dyDescent="0.3">
      <c r="A38" s="22" t="s">
        <v>129</v>
      </c>
      <c r="B38" s="22" t="s">
        <v>11</v>
      </c>
      <c r="C38" s="22" t="s">
        <v>18</v>
      </c>
      <c r="D38" s="22" t="s">
        <v>13</v>
      </c>
      <c r="E38" s="22">
        <v>3382.93</v>
      </c>
      <c r="F38" s="24">
        <v>3</v>
      </c>
      <c r="G38" s="22">
        <v>0.2</v>
      </c>
      <c r="H38" s="23">
        <v>45428</v>
      </c>
      <c r="I38" s="22">
        <v>4254.1099999999997</v>
      </c>
      <c r="J38" s="22" t="str">
        <f>TEXT(Table1[[#This Row],[Order_Date]],"MMM")</f>
        <v>May</v>
      </c>
      <c r="L38" s="33"/>
      <c r="M38" s="27" t="s">
        <v>91</v>
      </c>
      <c r="N38" s="27">
        <f>SUMIF(Table1[MONTH],"Sep",Table1[Sales])</f>
        <v>341061.15000000008</v>
      </c>
      <c r="O38" s="27"/>
    </row>
    <row r="39" spans="1:19" ht="15.75" customHeight="1" x14ac:dyDescent="0.3">
      <c r="A39" s="22" t="s">
        <v>130</v>
      </c>
      <c r="B39" s="22" t="s">
        <v>15</v>
      </c>
      <c r="C39" s="22" t="s">
        <v>18</v>
      </c>
      <c r="D39" s="22" t="s">
        <v>16</v>
      </c>
      <c r="E39" s="22">
        <v>3448.12</v>
      </c>
      <c r="F39" s="24">
        <v>5</v>
      </c>
      <c r="G39" s="22">
        <v>0.2</v>
      </c>
      <c r="H39" s="23">
        <v>45429</v>
      </c>
      <c r="I39" s="22">
        <v>4363.07</v>
      </c>
      <c r="J39" s="22" t="str">
        <f>TEXT(Table1[[#This Row],[Order_Date]],"MMM")</f>
        <v>May</v>
      </c>
      <c r="L39" s="33"/>
      <c r="M39" s="27" t="s">
        <v>92</v>
      </c>
      <c r="N39" s="27">
        <f>SUMIF(Table1[MONTH],"Oct",Table1[Sales])</f>
        <v>343044.65000000008</v>
      </c>
      <c r="O39" s="27"/>
    </row>
    <row r="40" spans="1:19" ht="15.75" customHeight="1" x14ac:dyDescent="0.3">
      <c r="A40" s="22" t="s">
        <v>131</v>
      </c>
      <c r="B40" s="22" t="s">
        <v>11</v>
      </c>
      <c r="C40" s="22" t="s">
        <v>18</v>
      </c>
      <c r="D40" s="22" t="s">
        <v>13</v>
      </c>
      <c r="E40" s="22">
        <v>3513.31</v>
      </c>
      <c r="F40" s="24">
        <v>18</v>
      </c>
      <c r="G40" s="22">
        <v>0.2</v>
      </c>
      <c r="H40" s="23">
        <v>45430</v>
      </c>
      <c r="I40" s="22">
        <v>4472.03</v>
      </c>
      <c r="J40" s="22" t="str">
        <f>TEXT(Table1[[#This Row],[Order_Date]],"MMM")</f>
        <v>May</v>
      </c>
      <c r="L40" s="33"/>
      <c r="M40" s="27" t="s">
        <v>93</v>
      </c>
      <c r="N40" s="27">
        <f>SUMIF(Table1[MONTH],"Nov",Table1[Sales])</f>
        <v>0</v>
      </c>
      <c r="O40" s="27"/>
    </row>
    <row r="41" spans="1:19" ht="15.75" customHeight="1" x14ac:dyDescent="0.3">
      <c r="A41" s="22" t="s">
        <v>132</v>
      </c>
      <c r="B41" s="22" t="s">
        <v>15</v>
      </c>
      <c r="C41" s="22" t="s">
        <v>18</v>
      </c>
      <c r="D41" s="22" t="s">
        <v>16</v>
      </c>
      <c r="E41" s="22">
        <v>3578.5</v>
      </c>
      <c r="F41" s="24">
        <v>5</v>
      </c>
      <c r="G41" s="22">
        <v>0.2</v>
      </c>
      <c r="H41" s="23">
        <v>45431</v>
      </c>
      <c r="I41" s="22">
        <v>4580.99</v>
      </c>
      <c r="J41" s="22" t="str">
        <f>TEXT(Table1[[#This Row],[Order_Date]],"MMM")</f>
        <v>May</v>
      </c>
      <c r="L41" s="33"/>
      <c r="M41" s="27" t="s">
        <v>94</v>
      </c>
      <c r="N41" s="27">
        <f>SUMIF(Table1[MONTH],"Dec",Table1[Sales])</f>
        <v>0</v>
      </c>
      <c r="O41" s="27"/>
    </row>
    <row r="42" spans="1:19" ht="15.75" customHeight="1" x14ac:dyDescent="0.3">
      <c r="A42" s="22" t="s">
        <v>133</v>
      </c>
      <c r="B42" s="22" t="s">
        <v>11</v>
      </c>
      <c r="C42" s="22" t="s">
        <v>18</v>
      </c>
      <c r="D42" s="22" t="s">
        <v>13</v>
      </c>
      <c r="E42" s="22">
        <v>3643.69</v>
      </c>
      <c r="F42" s="24">
        <v>10</v>
      </c>
      <c r="G42" s="22">
        <v>0.2</v>
      </c>
      <c r="H42" s="23">
        <v>45432</v>
      </c>
      <c r="I42" s="22">
        <v>4689.95</v>
      </c>
      <c r="J42" s="22" t="str">
        <f>TEXT(Table1[[#This Row],[Order_Date]],"MMM")</f>
        <v>May</v>
      </c>
    </row>
    <row r="43" spans="1:19" ht="15.75" customHeight="1" x14ac:dyDescent="0.3">
      <c r="A43" s="22" t="s">
        <v>134</v>
      </c>
      <c r="B43" s="22" t="s">
        <v>15</v>
      </c>
      <c r="C43" s="22" t="s">
        <v>18</v>
      </c>
      <c r="D43" s="22" t="s">
        <v>16</v>
      </c>
      <c r="E43" s="22">
        <v>3708.88</v>
      </c>
      <c r="F43" s="24">
        <v>14</v>
      </c>
      <c r="G43" s="22">
        <v>0.2</v>
      </c>
      <c r="H43" s="23">
        <v>45433</v>
      </c>
      <c r="I43" s="22">
        <v>4798.91</v>
      </c>
      <c r="J43" s="22" t="str">
        <f>TEXT(Table1[[#This Row],[Order_Date]],"MMM")</f>
        <v>May</v>
      </c>
    </row>
    <row r="44" spans="1:19" ht="15.75" customHeight="1" x14ac:dyDescent="0.3">
      <c r="A44" s="22" t="s">
        <v>135</v>
      </c>
      <c r="B44" s="22" t="s">
        <v>11</v>
      </c>
      <c r="C44" s="22" t="s">
        <v>18</v>
      </c>
      <c r="D44" s="22" t="s">
        <v>13</v>
      </c>
      <c r="E44" s="22">
        <v>3774.07</v>
      </c>
      <c r="F44" s="24">
        <v>12</v>
      </c>
      <c r="G44" s="22">
        <v>0.2</v>
      </c>
      <c r="H44" s="23">
        <v>45434</v>
      </c>
      <c r="I44" s="22">
        <v>4907.87</v>
      </c>
      <c r="J44" s="22" t="str">
        <f>TEXT(Table1[[#This Row],[Order_Date]],"MMM")</f>
        <v>May</v>
      </c>
    </row>
    <row r="45" spans="1:19" ht="15.75" customHeight="1" x14ac:dyDescent="0.3">
      <c r="A45" s="22" t="s">
        <v>136</v>
      </c>
      <c r="B45" s="22" t="s">
        <v>15</v>
      </c>
      <c r="C45" s="22" t="s">
        <v>18</v>
      </c>
      <c r="D45" s="22" t="s">
        <v>16</v>
      </c>
      <c r="E45" s="22">
        <v>3839.26</v>
      </c>
      <c r="F45" s="24">
        <v>9</v>
      </c>
      <c r="G45" s="22">
        <v>0.2</v>
      </c>
      <c r="H45" s="23">
        <v>45435</v>
      </c>
      <c r="I45" s="22">
        <v>5016.83</v>
      </c>
      <c r="J45" s="22" t="str">
        <f>TEXT(Table1[[#This Row],[Order_Date]],"MMM")</f>
        <v>May</v>
      </c>
    </row>
    <row r="46" spans="1:19" ht="15.75" customHeight="1" x14ac:dyDescent="0.3">
      <c r="A46" s="22" t="s">
        <v>137</v>
      </c>
      <c r="B46" s="22" t="s">
        <v>11</v>
      </c>
      <c r="C46" s="22" t="s">
        <v>18</v>
      </c>
      <c r="D46" s="22" t="s">
        <v>13</v>
      </c>
      <c r="E46" s="22">
        <v>3904.45</v>
      </c>
      <c r="F46" s="24">
        <v>11</v>
      </c>
      <c r="G46" s="22">
        <v>0.2</v>
      </c>
      <c r="H46" s="23">
        <v>45436</v>
      </c>
      <c r="I46" s="22">
        <v>5125.79</v>
      </c>
      <c r="J46" s="22" t="str">
        <f>TEXT(Table1[[#This Row],[Order_Date]],"MMM")</f>
        <v>May</v>
      </c>
    </row>
    <row r="47" spans="1:19" ht="15.75" customHeight="1" x14ac:dyDescent="0.3">
      <c r="A47" s="22" t="s">
        <v>138</v>
      </c>
      <c r="B47" s="22" t="s">
        <v>15</v>
      </c>
      <c r="C47" s="22" t="s">
        <v>18</v>
      </c>
      <c r="D47" s="22" t="s">
        <v>16</v>
      </c>
      <c r="E47" s="22">
        <v>3969.64</v>
      </c>
      <c r="F47" s="24">
        <v>13</v>
      </c>
      <c r="G47" s="22">
        <v>0.2</v>
      </c>
      <c r="H47" s="23">
        <v>45437</v>
      </c>
      <c r="I47" s="22">
        <v>5234.75</v>
      </c>
      <c r="J47" s="22" t="str">
        <f>TEXT(Table1[[#This Row],[Order_Date]],"MMM")</f>
        <v>May</v>
      </c>
    </row>
    <row r="48" spans="1:19" ht="15.75" customHeight="1" x14ac:dyDescent="0.3">
      <c r="A48" s="22" t="s">
        <v>139</v>
      </c>
      <c r="B48" s="22" t="s">
        <v>11</v>
      </c>
      <c r="C48" s="22" t="s">
        <v>18</v>
      </c>
      <c r="D48" s="22" t="s">
        <v>13</v>
      </c>
      <c r="E48" s="22">
        <v>4034.83</v>
      </c>
      <c r="F48" s="24">
        <v>19</v>
      </c>
      <c r="G48" s="22">
        <v>0.2</v>
      </c>
      <c r="H48" s="23">
        <v>45438</v>
      </c>
      <c r="I48" s="22">
        <v>5343.71</v>
      </c>
      <c r="J48" s="22" t="str">
        <f>TEXT(Table1[[#This Row],[Order_Date]],"MMM")</f>
        <v>May</v>
      </c>
    </row>
    <row r="49" spans="1:10" ht="15.75" customHeight="1" x14ac:dyDescent="0.3">
      <c r="A49" s="22" t="s">
        <v>140</v>
      </c>
      <c r="B49" s="22" t="s">
        <v>15</v>
      </c>
      <c r="C49" s="22" t="s">
        <v>18</v>
      </c>
      <c r="D49" s="22" t="s">
        <v>16</v>
      </c>
      <c r="E49" s="22">
        <v>4100.0200000000004</v>
      </c>
      <c r="F49" s="24">
        <v>15</v>
      </c>
      <c r="G49" s="22">
        <v>0.2</v>
      </c>
      <c r="H49" s="23">
        <v>45439</v>
      </c>
      <c r="I49" s="22">
        <v>5452.67</v>
      </c>
      <c r="J49" s="22" t="str">
        <f>TEXT(Table1[[#This Row],[Order_Date]],"MMM")</f>
        <v>May</v>
      </c>
    </row>
    <row r="50" spans="1:10" ht="15.75" customHeight="1" x14ac:dyDescent="0.3">
      <c r="A50" s="22" t="s">
        <v>141</v>
      </c>
      <c r="B50" s="22" t="s">
        <v>11</v>
      </c>
      <c r="C50" s="22" t="s">
        <v>18</v>
      </c>
      <c r="D50" s="22" t="s">
        <v>13</v>
      </c>
      <c r="E50" s="22">
        <v>4165.21</v>
      </c>
      <c r="F50" s="24">
        <v>5</v>
      </c>
      <c r="G50" s="22">
        <v>0.2</v>
      </c>
      <c r="H50" s="23">
        <v>45440</v>
      </c>
      <c r="I50" s="22">
        <v>5561.63</v>
      </c>
      <c r="J50" s="22" t="str">
        <f>TEXT(Table1[[#This Row],[Order_Date]],"MMM")</f>
        <v>May</v>
      </c>
    </row>
    <row r="51" spans="1:10" ht="15.75" customHeight="1" x14ac:dyDescent="0.3">
      <c r="A51" s="22" t="s">
        <v>142</v>
      </c>
      <c r="B51" s="22" t="s">
        <v>15</v>
      </c>
      <c r="C51" s="22" t="s">
        <v>18</v>
      </c>
      <c r="D51" s="22" t="s">
        <v>16</v>
      </c>
      <c r="E51" s="22">
        <v>4230.3999999999996</v>
      </c>
      <c r="F51" s="24">
        <v>11</v>
      </c>
      <c r="G51" s="22">
        <v>0.2</v>
      </c>
      <c r="H51" s="23">
        <v>45441</v>
      </c>
      <c r="I51" s="22">
        <v>5670.59</v>
      </c>
      <c r="J51" s="22" t="str">
        <f>TEXT(Table1[[#This Row],[Order_Date]],"MMM")</f>
        <v>May</v>
      </c>
    </row>
    <row r="52" spans="1:10" ht="15.75" customHeight="1" x14ac:dyDescent="0.3">
      <c r="A52" s="22" t="s">
        <v>143</v>
      </c>
      <c r="B52" s="22" t="s">
        <v>11</v>
      </c>
      <c r="C52" s="22" t="s">
        <v>18</v>
      </c>
      <c r="D52" s="22" t="s">
        <v>13</v>
      </c>
      <c r="E52" s="22">
        <v>4295.59</v>
      </c>
      <c r="F52" s="24">
        <v>19</v>
      </c>
      <c r="G52" s="22">
        <v>0.2</v>
      </c>
      <c r="H52" s="23">
        <v>45442</v>
      </c>
      <c r="I52" s="22">
        <v>5779.55</v>
      </c>
      <c r="J52" s="22" t="str">
        <f>TEXT(Table1[[#This Row],[Order_Date]],"MMM")</f>
        <v>May</v>
      </c>
    </row>
    <row r="53" spans="1:10" ht="15.75" customHeight="1" x14ac:dyDescent="0.3">
      <c r="A53" s="22" t="s">
        <v>144</v>
      </c>
      <c r="B53" s="22" t="s">
        <v>15</v>
      </c>
      <c r="C53" s="22" t="s">
        <v>18</v>
      </c>
      <c r="D53" s="22" t="s">
        <v>16</v>
      </c>
      <c r="E53" s="22">
        <v>4360.78</v>
      </c>
      <c r="F53" s="24">
        <v>12</v>
      </c>
      <c r="G53" s="22">
        <v>0.2</v>
      </c>
      <c r="H53" s="23">
        <v>45443</v>
      </c>
      <c r="I53" s="22">
        <v>5888.51</v>
      </c>
      <c r="J53" s="22" t="str">
        <f>TEXT(Table1[[#This Row],[Order_Date]],"MMM")</f>
        <v>May</v>
      </c>
    </row>
    <row r="54" spans="1:10" ht="15.75" customHeight="1" x14ac:dyDescent="0.3">
      <c r="A54" s="22" t="s">
        <v>145</v>
      </c>
      <c r="B54" s="22" t="s">
        <v>11</v>
      </c>
      <c r="C54" s="22" t="s">
        <v>18</v>
      </c>
      <c r="D54" s="22" t="s">
        <v>13</v>
      </c>
      <c r="E54" s="22">
        <v>4425.97</v>
      </c>
      <c r="F54" s="24">
        <v>2</v>
      </c>
      <c r="G54" s="22">
        <v>0.2</v>
      </c>
      <c r="H54" s="23">
        <v>45444</v>
      </c>
      <c r="I54" s="22">
        <v>5997.47</v>
      </c>
      <c r="J54" s="22" t="str">
        <f>TEXT(Table1[[#This Row],[Order_Date]],"MMM")</f>
        <v>Jun</v>
      </c>
    </row>
    <row r="55" spans="1:10" ht="15.75" customHeight="1" x14ac:dyDescent="0.3">
      <c r="A55" s="22" t="s">
        <v>146</v>
      </c>
      <c r="B55" s="22" t="s">
        <v>15</v>
      </c>
      <c r="C55" s="22" t="s">
        <v>18</v>
      </c>
      <c r="D55" s="22" t="s">
        <v>16</v>
      </c>
      <c r="E55" s="22">
        <v>4491.16</v>
      </c>
      <c r="F55" s="24">
        <v>8</v>
      </c>
      <c r="G55" s="22">
        <v>0.2</v>
      </c>
      <c r="H55" s="23">
        <v>45445</v>
      </c>
      <c r="I55" s="22">
        <v>6106.43</v>
      </c>
      <c r="J55" s="22" t="str">
        <f>TEXT(Table1[[#This Row],[Order_Date]],"MMM")</f>
        <v>Jun</v>
      </c>
    </row>
    <row r="56" spans="1:10" ht="15.75" customHeight="1" x14ac:dyDescent="0.3">
      <c r="A56" s="22" t="s">
        <v>147</v>
      </c>
      <c r="B56" s="22" t="s">
        <v>11</v>
      </c>
      <c r="C56" s="22" t="s">
        <v>18</v>
      </c>
      <c r="D56" s="22" t="s">
        <v>13</v>
      </c>
      <c r="E56" s="22">
        <v>4556.3500000000004</v>
      </c>
      <c r="F56" s="24">
        <v>12</v>
      </c>
      <c r="G56" s="22">
        <v>0.2</v>
      </c>
      <c r="H56" s="23">
        <v>45446</v>
      </c>
      <c r="I56" s="22">
        <v>6215.39</v>
      </c>
      <c r="J56" s="22" t="str">
        <f>TEXT(Table1[[#This Row],[Order_Date]],"MMM")</f>
        <v>Jun</v>
      </c>
    </row>
    <row r="57" spans="1:10" ht="15.75" customHeight="1" x14ac:dyDescent="0.3">
      <c r="A57" s="22" t="s">
        <v>148</v>
      </c>
      <c r="B57" s="22" t="s">
        <v>15</v>
      </c>
      <c r="C57" s="22" t="s">
        <v>18</v>
      </c>
      <c r="D57" s="22" t="s">
        <v>16</v>
      </c>
      <c r="E57" s="22">
        <v>4621.54</v>
      </c>
      <c r="F57" s="24">
        <v>19</v>
      </c>
      <c r="G57" s="22">
        <v>0.2</v>
      </c>
      <c r="H57" s="23">
        <v>45447</v>
      </c>
      <c r="I57" s="22">
        <v>6324.35</v>
      </c>
      <c r="J57" s="22" t="str">
        <f>TEXT(Table1[[#This Row],[Order_Date]],"MMM")</f>
        <v>Jun</v>
      </c>
    </row>
    <row r="58" spans="1:10" ht="15.75" customHeight="1" x14ac:dyDescent="0.3">
      <c r="A58" s="22" t="s">
        <v>149</v>
      </c>
      <c r="B58" s="22" t="s">
        <v>11</v>
      </c>
      <c r="C58" s="22" t="s">
        <v>18</v>
      </c>
      <c r="D58" s="22" t="s">
        <v>13</v>
      </c>
      <c r="E58" s="22">
        <v>4686.7299999999996</v>
      </c>
      <c r="F58" s="24">
        <v>6</v>
      </c>
      <c r="G58" s="22">
        <v>0.2</v>
      </c>
      <c r="H58" s="23">
        <v>45448</v>
      </c>
      <c r="I58" s="22">
        <v>6433.31</v>
      </c>
      <c r="J58" s="22" t="str">
        <f>TEXT(Table1[[#This Row],[Order_Date]],"MMM")</f>
        <v>Jun</v>
      </c>
    </row>
    <row r="59" spans="1:10" ht="15.75" customHeight="1" x14ac:dyDescent="0.3">
      <c r="A59" s="22" t="s">
        <v>150</v>
      </c>
      <c r="B59" s="22" t="s">
        <v>15</v>
      </c>
      <c r="C59" s="22" t="s">
        <v>302</v>
      </c>
      <c r="D59" s="22" t="s">
        <v>16</v>
      </c>
      <c r="E59" s="22">
        <v>4751.92</v>
      </c>
      <c r="F59" s="24">
        <v>6</v>
      </c>
      <c r="G59" s="22">
        <v>0.2</v>
      </c>
      <c r="H59" s="23">
        <v>45449</v>
      </c>
      <c r="I59" s="22">
        <v>6542.27</v>
      </c>
      <c r="J59" s="22" t="str">
        <f>TEXT(Table1[[#This Row],[Order_Date]],"MMM")</f>
        <v>Jun</v>
      </c>
    </row>
    <row r="60" spans="1:10" ht="15.75" customHeight="1" x14ac:dyDescent="0.3">
      <c r="A60" s="22" t="s">
        <v>151</v>
      </c>
      <c r="B60" s="22" t="s">
        <v>11</v>
      </c>
      <c r="C60" s="22" t="s">
        <v>302</v>
      </c>
      <c r="D60" s="22" t="s">
        <v>13</v>
      </c>
      <c r="E60" s="22">
        <v>4817.1099999999997</v>
      </c>
      <c r="F60" s="24">
        <v>7</v>
      </c>
      <c r="G60" s="22">
        <v>0.2</v>
      </c>
      <c r="H60" s="23">
        <v>45450</v>
      </c>
      <c r="I60" s="22">
        <v>6651.23</v>
      </c>
      <c r="J60" s="22" t="str">
        <f>TEXT(Table1[[#This Row],[Order_Date]],"MMM")</f>
        <v>Jun</v>
      </c>
    </row>
    <row r="61" spans="1:10" ht="15.75" customHeight="1" x14ac:dyDescent="0.3">
      <c r="A61" s="22" t="s">
        <v>152</v>
      </c>
      <c r="B61" s="22" t="s">
        <v>15</v>
      </c>
      <c r="C61" s="22" t="s">
        <v>302</v>
      </c>
      <c r="D61" s="22" t="s">
        <v>16</v>
      </c>
      <c r="E61" s="22">
        <v>4882.3</v>
      </c>
      <c r="F61" s="24">
        <v>2</v>
      </c>
      <c r="G61" s="22">
        <v>0.2</v>
      </c>
      <c r="H61" s="23">
        <v>45451</v>
      </c>
      <c r="I61" s="22">
        <v>6760.19</v>
      </c>
      <c r="J61" s="22" t="str">
        <f>TEXT(Table1[[#This Row],[Order_Date]],"MMM")</f>
        <v>Jun</v>
      </c>
    </row>
    <row r="62" spans="1:10" ht="15.75" customHeight="1" x14ac:dyDescent="0.3">
      <c r="A62" s="22" t="s">
        <v>153</v>
      </c>
      <c r="B62" s="22" t="s">
        <v>11</v>
      </c>
      <c r="C62" s="22" t="s">
        <v>302</v>
      </c>
      <c r="D62" s="22" t="s">
        <v>13</v>
      </c>
      <c r="E62" s="22">
        <v>4947.49</v>
      </c>
      <c r="F62" s="24">
        <v>18</v>
      </c>
      <c r="G62" s="22">
        <v>0.2</v>
      </c>
      <c r="H62" s="23">
        <v>45452</v>
      </c>
      <c r="I62" s="22">
        <v>6869.15</v>
      </c>
      <c r="J62" s="22" t="str">
        <f>TEXT(Table1[[#This Row],[Order_Date]],"MMM")</f>
        <v>Jun</v>
      </c>
    </row>
    <row r="63" spans="1:10" ht="15.75" customHeight="1" x14ac:dyDescent="0.3">
      <c r="A63" s="22" t="s">
        <v>154</v>
      </c>
      <c r="B63" s="22" t="s">
        <v>15</v>
      </c>
      <c r="C63" s="22" t="s">
        <v>302</v>
      </c>
      <c r="D63" s="22" t="s">
        <v>16</v>
      </c>
      <c r="E63" s="22">
        <v>5012.68</v>
      </c>
      <c r="F63" s="24">
        <v>15</v>
      </c>
      <c r="G63" s="22">
        <v>0.2</v>
      </c>
      <c r="H63" s="23">
        <v>45453</v>
      </c>
      <c r="I63" s="22">
        <v>6978.11</v>
      </c>
      <c r="J63" s="22" t="str">
        <f>TEXT(Table1[[#This Row],[Order_Date]],"MMM")</f>
        <v>Jun</v>
      </c>
    </row>
    <row r="64" spans="1:10" ht="15.75" customHeight="1" x14ac:dyDescent="0.3">
      <c r="A64" s="22" t="s">
        <v>155</v>
      </c>
      <c r="B64" s="22" t="s">
        <v>11</v>
      </c>
      <c r="C64" s="22" t="s">
        <v>302</v>
      </c>
      <c r="D64" s="22" t="s">
        <v>13</v>
      </c>
      <c r="E64" s="22">
        <v>5077.87</v>
      </c>
      <c r="F64" s="24">
        <v>10</v>
      </c>
      <c r="G64" s="22">
        <v>0.2</v>
      </c>
      <c r="H64" s="23">
        <v>45454</v>
      </c>
      <c r="I64" s="22">
        <v>7087.07</v>
      </c>
      <c r="J64" s="22" t="str">
        <f>TEXT(Table1[[#This Row],[Order_Date]],"MMM")</f>
        <v>Jun</v>
      </c>
    </row>
    <row r="65" spans="1:10" ht="15.75" customHeight="1" x14ac:dyDescent="0.3">
      <c r="A65" s="22" t="s">
        <v>156</v>
      </c>
      <c r="B65" s="22" t="s">
        <v>15</v>
      </c>
      <c r="C65" s="22" t="s">
        <v>302</v>
      </c>
      <c r="D65" s="22" t="s">
        <v>16</v>
      </c>
      <c r="E65" s="22">
        <v>5143.0600000000004</v>
      </c>
      <c r="F65" s="24">
        <v>11</v>
      </c>
      <c r="G65" s="22">
        <v>0.2</v>
      </c>
      <c r="H65" s="23">
        <v>45455</v>
      </c>
      <c r="I65" s="22">
        <v>7196.03</v>
      </c>
      <c r="J65" s="22" t="str">
        <f>TEXT(Table1[[#This Row],[Order_Date]],"MMM")</f>
        <v>Jun</v>
      </c>
    </row>
    <row r="66" spans="1:10" ht="15.75" customHeight="1" x14ac:dyDescent="0.3">
      <c r="A66" s="22" t="s">
        <v>157</v>
      </c>
      <c r="B66" s="22" t="s">
        <v>11</v>
      </c>
      <c r="C66" s="22" t="s">
        <v>302</v>
      </c>
      <c r="D66" s="22" t="s">
        <v>13</v>
      </c>
      <c r="E66" s="22">
        <v>5208.25</v>
      </c>
      <c r="F66" s="24">
        <v>1</v>
      </c>
      <c r="G66" s="22">
        <v>0.2</v>
      </c>
      <c r="H66" s="23">
        <v>45456</v>
      </c>
      <c r="I66" s="22">
        <v>7304.99</v>
      </c>
      <c r="J66" s="22" t="str">
        <f>TEXT(Table1[[#This Row],[Order_Date]],"MMM")</f>
        <v>Jun</v>
      </c>
    </row>
    <row r="67" spans="1:10" ht="15.75" customHeight="1" x14ac:dyDescent="0.3">
      <c r="A67" s="22" t="s">
        <v>158</v>
      </c>
      <c r="B67" s="22" t="s">
        <v>15</v>
      </c>
      <c r="C67" s="22" t="s">
        <v>302</v>
      </c>
      <c r="D67" s="22" t="s">
        <v>16</v>
      </c>
      <c r="E67" s="22">
        <v>5273.44</v>
      </c>
      <c r="F67" s="24">
        <v>2</v>
      </c>
      <c r="G67" s="22">
        <v>0.2</v>
      </c>
      <c r="H67" s="23">
        <v>45457</v>
      </c>
      <c r="I67" s="22">
        <v>7413.95</v>
      </c>
      <c r="J67" s="22" t="str">
        <f>TEXT(Table1[[#This Row],[Order_Date]],"MMM")</f>
        <v>Jun</v>
      </c>
    </row>
    <row r="68" spans="1:10" ht="15.75" customHeight="1" x14ac:dyDescent="0.3">
      <c r="A68" s="22" t="s">
        <v>159</v>
      </c>
      <c r="B68" s="22" t="s">
        <v>11</v>
      </c>
      <c r="C68" s="22" t="s">
        <v>302</v>
      </c>
      <c r="D68" s="22" t="s">
        <v>13</v>
      </c>
      <c r="E68" s="22">
        <v>5338.63</v>
      </c>
      <c r="F68" s="24">
        <v>17</v>
      </c>
      <c r="G68" s="22">
        <v>0.2</v>
      </c>
      <c r="H68" s="23">
        <v>45458</v>
      </c>
      <c r="I68" s="22">
        <v>7522.91</v>
      </c>
      <c r="J68" s="22" t="str">
        <f>TEXT(Table1[[#This Row],[Order_Date]],"MMM")</f>
        <v>Jun</v>
      </c>
    </row>
    <row r="69" spans="1:10" ht="15.75" customHeight="1" x14ac:dyDescent="0.3">
      <c r="A69" s="22" t="s">
        <v>160</v>
      </c>
      <c r="B69" s="22" t="s">
        <v>15</v>
      </c>
      <c r="C69" s="22" t="s">
        <v>302</v>
      </c>
      <c r="D69" s="22" t="s">
        <v>16</v>
      </c>
      <c r="E69" s="22">
        <v>5403.82</v>
      </c>
      <c r="F69" s="24">
        <v>8</v>
      </c>
      <c r="G69" s="22">
        <v>0.2</v>
      </c>
      <c r="H69" s="23">
        <v>45459</v>
      </c>
      <c r="I69" s="22">
        <v>7631.87</v>
      </c>
      <c r="J69" s="22" t="str">
        <f>TEXT(Table1[[#This Row],[Order_Date]],"MMM")</f>
        <v>Jun</v>
      </c>
    </row>
    <row r="70" spans="1:10" ht="15.75" customHeight="1" x14ac:dyDescent="0.3">
      <c r="A70" s="22" t="s">
        <v>161</v>
      </c>
      <c r="B70" s="22" t="s">
        <v>11</v>
      </c>
      <c r="C70" s="22" t="s">
        <v>302</v>
      </c>
      <c r="D70" s="22" t="s">
        <v>13</v>
      </c>
      <c r="E70" s="22">
        <v>5469.01</v>
      </c>
      <c r="F70" s="24">
        <v>9</v>
      </c>
      <c r="G70" s="22">
        <v>0.2</v>
      </c>
      <c r="H70" s="23">
        <v>45460</v>
      </c>
      <c r="I70" s="22">
        <v>7740.83</v>
      </c>
      <c r="J70" s="22" t="str">
        <f>TEXT(Table1[[#This Row],[Order_Date]],"MMM")</f>
        <v>Jun</v>
      </c>
    </row>
    <row r="71" spans="1:10" ht="15.75" customHeight="1" x14ac:dyDescent="0.3">
      <c r="A71" s="22" t="s">
        <v>162</v>
      </c>
      <c r="B71" s="22" t="s">
        <v>15</v>
      </c>
      <c r="C71" s="22" t="s">
        <v>302</v>
      </c>
      <c r="D71" s="22" t="s">
        <v>16</v>
      </c>
      <c r="E71" s="22">
        <v>5534.2</v>
      </c>
      <c r="F71" s="24">
        <v>17</v>
      </c>
      <c r="G71" s="22">
        <v>0.2</v>
      </c>
      <c r="H71" s="23">
        <v>45461</v>
      </c>
      <c r="I71" s="22">
        <v>7849.79</v>
      </c>
      <c r="J71" s="22" t="str">
        <f>TEXT(Table1[[#This Row],[Order_Date]],"MMM")</f>
        <v>Jun</v>
      </c>
    </row>
    <row r="72" spans="1:10" ht="15.75" customHeight="1" x14ac:dyDescent="0.3">
      <c r="A72" s="22" t="s">
        <v>163</v>
      </c>
      <c r="B72" s="22" t="s">
        <v>11</v>
      </c>
      <c r="C72" s="22" t="s">
        <v>302</v>
      </c>
      <c r="D72" s="22" t="s">
        <v>13</v>
      </c>
      <c r="E72" s="22">
        <v>5599.39</v>
      </c>
      <c r="F72" s="24">
        <v>17</v>
      </c>
      <c r="G72" s="22">
        <v>0.2</v>
      </c>
      <c r="H72" s="23">
        <v>45462</v>
      </c>
      <c r="I72" s="22">
        <v>7958.75</v>
      </c>
      <c r="J72" s="22" t="str">
        <f>TEXT(Table1[[#This Row],[Order_Date]],"MMM")</f>
        <v>Jun</v>
      </c>
    </row>
    <row r="73" spans="1:10" ht="15.75" customHeight="1" x14ac:dyDescent="0.3">
      <c r="A73" s="22" t="s">
        <v>164</v>
      </c>
      <c r="B73" s="22" t="s">
        <v>15</v>
      </c>
      <c r="C73" s="22" t="s">
        <v>302</v>
      </c>
      <c r="D73" s="22" t="s">
        <v>16</v>
      </c>
      <c r="E73" s="22">
        <v>5664.58</v>
      </c>
      <c r="F73" s="24">
        <v>5</v>
      </c>
      <c r="G73" s="22">
        <v>0.2</v>
      </c>
      <c r="H73" s="23">
        <v>45463</v>
      </c>
      <c r="I73" s="22">
        <v>8067.71</v>
      </c>
      <c r="J73" s="22" t="str">
        <f>TEXT(Table1[[#This Row],[Order_Date]],"MMM")</f>
        <v>Jun</v>
      </c>
    </row>
    <row r="74" spans="1:10" ht="15.75" customHeight="1" x14ac:dyDescent="0.3">
      <c r="A74" s="22" t="s">
        <v>165</v>
      </c>
      <c r="B74" s="22" t="s">
        <v>11</v>
      </c>
      <c r="C74" s="22" t="s">
        <v>302</v>
      </c>
      <c r="D74" s="22" t="s">
        <v>13</v>
      </c>
      <c r="E74" s="22">
        <v>5729.77</v>
      </c>
      <c r="F74" s="24">
        <v>15</v>
      </c>
      <c r="G74" s="22">
        <v>0.2</v>
      </c>
      <c r="H74" s="23">
        <v>45464</v>
      </c>
      <c r="I74" s="22">
        <v>8176.67</v>
      </c>
      <c r="J74" s="22" t="str">
        <f>TEXT(Table1[[#This Row],[Order_Date]],"MMM")</f>
        <v>Jun</v>
      </c>
    </row>
    <row r="75" spans="1:10" ht="15.75" customHeight="1" x14ac:dyDescent="0.3">
      <c r="A75" s="22" t="s">
        <v>166</v>
      </c>
      <c r="B75" s="22" t="s">
        <v>15</v>
      </c>
      <c r="C75" s="22" t="s">
        <v>302</v>
      </c>
      <c r="D75" s="22" t="s">
        <v>16</v>
      </c>
      <c r="E75" s="22">
        <v>5794.96</v>
      </c>
      <c r="F75" s="24">
        <v>12</v>
      </c>
      <c r="G75" s="22">
        <v>0.2</v>
      </c>
      <c r="H75" s="23">
        <v>45465</v>
      </c>
      <c r="I75" s="22">
        <v>8285.6299999999992</v>
      </c>
      <c r="J75" s="22" t="str">
        <f>TEXT(Table1[[#This Row],[Order_Date]],"MMM")</f>
        <v>Jun</v>
      </c>
    </row>
    <row r="76" spans="1:10" ht="15.75" customHeight="1" x14ac:dyDescent="0.3">
      <c r="A76" s="22" t="s">
        <v>167</v>
      </c>
      <c r="B76" s="22" t="s">
        <v>11</v>
      </c>
      <c r="C76" s="22" t="s">
        <v>302</v>
      </c>
      <c r="D76" s="22" t="s">
        <v>13</v>
      </c>
      <c r="E76" s="22">
        <v>5860.15</v>
      </c>
      <c r="F76" s="24">
        <v>5</v>
      </c>
      <c r="G76" s="22">
        <v>0.2</v>
      </c>
      <c r="H76" s="23">
        <v>45466</v>
      </c>
      <c r="I76" s="22">
        <v>8394.59</v>
      </c>
      <c r="J76" s="22" t="str">
        <f>TEXT(Table1[[#This Row],[Order_Date]],"MMM")</f>
        <v>Jun</v>
      </c>
    </row>
    <row r="77" spans="1:10" ht="15.75" customHeight="1" x14ac:dyDescent="0.3">
      <c r="A77" s="22" t="s">
        <v>168</v>
      </c>
      <c r="B77" s="22" t="s">
        <v>15</v>
      </c>
      <c r="C77" s="22" t="s">
        <v>302</v>
      </c>
      <c r="D77" s="22" t="s">
        <v>16</v>
      </c>
      <c r="E77" s="22">
        <v>5925.34</v>
      </c>
      <c r="F77" s="24">
        <v>11</v>
      </c>
      <c r="G77" s="22">
        <v>0.2</v>
      </c>
      <c r="H77" s="23">
        <v>45467</v>
      </c>
      <c r="I77" s="22">
        <v>8503.5499999999993</v>
      </c>
      <c r="J77" s="22" t="str">
        <f>TEXT(Table1[[#This Row],[Order_Date]],"MMM")</f>
        <v>Jun</v>
      </c>
    </row>
    <row r="78" spans="1:10" ht="15.75" customHeight="1" x14ac:dyDescent="0.3">
      <c r="A78" s="22" t="s">
        <v>169</v>
      </c>
      <c r="B78" s="22" t="s">
        <v>11</v>
      </c>
      <c r="C78" s="22" t="s">
        <v>302</v>
      </c>
      <c r="D78" s="22" t="s">
        <v>13</v>
      </c>
      <c r="E78" s="22">
        <v>5990.53</v>
      </c>
      <c r="F78" s="24">
        <v>1</v>
      </c>
      <c r="G78" s="22">
        <v>0.2</v>
      </c>
      <c r="H78" s="23">
        <v>45468</v>
      </c>
      <c r="I78" s="22">
        <v>8612.51</v>
      </c>
      <c r="J78" s="22" t="str">
        <f>TEXT(Table1[[#This Row],[Order_Date]],"MMM")</f>
        <v>Jun</v>
      </c>
    </row>
    <row r="79" spans="1:10" ht="15.75" customHeight="1" x14ac:dyDescent="0.3">
      <c r="A79" s="22" t="s">
        <v>170</v>
      </c>
      <c r="B79" s="22" t="s">
        <v>15</v>
      </c>
      <c r="C79" s="22" t="s">
        <v>302</v>
      </c>
      <c r="D79" s="22" t="s">
        <v>16</v>
      </c>
      <c r="E79" s="22">
        <v>6055.72</v>
      </c>
      <c r="F79" s="24">
        <v>1</v>
      </c>
      <c r="G79" s="22">
        <v>0.2</v>
      </c>
      <c r="H79" s="23">
        <v>45469</v>
      </c>
      <c r="I79" s="22">
        <v>8721.4699999999993</v>
      </c>
      <c r="J79" s="22" t="str">
        <f>TEXT(Table1[[#This Row],[Order_Date]],"MMM")</f>
        <v>Jun</v>
      </c>
    </row>
    <row r="80" spans="1:10" ht="15.75" customHeight="1" x14ac:dyDescent="0.3">
      <c r="A80" s="22" t="s">
        <v>171</v>
      </c>
      <c r="B80" s="22" t="s">
        <v>11</v>
      </c>
      <c r="C80" s="22" t="s">
        <v>302</v>
      </c>
      <c r="D80" s="22" t="s">
        <v>13</v>
      </c>
      <c r="E80" s="22">
        <v>6120.91</v>
      </c>
      <c r="F80" s="24">
        <v>19</v>
      </c>
      <c r="G80" s="22">
        <v>0.2</v>
      </c>
      <c r="H80" s="23">
        <v>45470</v>
      </c>
      <c r="I80" s="22">
        <v>8830.43</v>
      </c>
      <c r="J80" s="22" t="str">
        <f>TEXT(Table1[[#This Row],[Order_Date]],"MMM")</f>
        <v>Jun</v>
      </c>
    </row>
    <row r="81" spans="1:10" ht="15.75" customHeight="1" x14ac:dyDescent="0.3">
      <c r="A81" s="22" t="s">
        <v>172</v>
      </c>
      <c r="B81" s="22" t="s">
        <v>15</v>
      </c>
      <c r="C81" s="22" t="s">
        <v>302</v>
      </c>
      <c r="D81" s="22" t="s">
        <v>16</v>
      </c>
      <c r="E81" s="22">
        <v>6186.1</v>
      </c>
      <c r="F81" s="24">
        <v>10</v>
      </c>
      <c r="G81" s="22">
        <v>0.2</v>
      </c>
      <c r="H81" s="23">
        <v>45471</v>
      </c>
      <c r="I81" s="22">
        <v>8939.39</v>
      </c>
      <c r="J81" s="22" t="str">
        <f>TEXT(Table1[[#This Row],[Order_Date]],"MMM")</f>
        <v>Jun</v>
      </c>
    </row>
    <row r="82" spans="1:10" ht="15.75" customHeight="1" x14ac:dyDescent="0.3">
      <c r="A82" s="22" t="s">
        <v>173</v>
      </c>
      <c r="B82" s="22" t="s">
        <v>11</v>
      </c>
      <c r="C82" s="22" t="s">
        <v>302</v>
      </c>
      <c r="D82" s="22" t="s">
        <v>13</v>
      </c>
      <c r="E82" s="22">
        <v>6251.29</v>
      </c>
      <c r="F82" s="24">
        <v>5</v>
      </c>
      <c r="G82" s="22">
        <v>0.2</v>
      </c>
      <c r="H82" s="23">
        <v>45472</v>
      </c>
      <c r="I82" s="22">
        <v>9048.35</v>
      </c>
      <c r="J82" s="22" t="str">
        <f>TEXT(Table1[[#This Row],[Order_Date]],"MMM")</f>
        <v>Jun</v>
      </c>
    </row>
    <row r="83" spans="1:10" ht="15.75" customHeight="1" x14ac:dyDescent="0.3">
      <c r="A83" s="22" t="s">
        <v>174</v>
      </c>
      <c r="B83" s="22" t="s">
        <v>15</v>
      </c>
      <c r="C83" s="22" t="s">
        <v>302</v>
      </c>
      <c r="D83" s="22" t="s">
        <v>16</v>
      </c>
      <c r="E83" s="22">
        <v>6316.48</v>
      </c>
      <c r="F83" s="24">
        <v>13</v>
      </c>
      <c r="G83" s="22">
        <v>0.2</v>
      </c>
      <c r="H83" s="23">
        <v>45473</v>
      </c>
      <c r="I83" s="22">
        <v>9157.31</v>
      </c>
      <c r="J83" s="22" t="str">
        <f>TEXT(Table1[[#This Row],[Order_Date]],"MMM")</f>
        <v>Jun</v>
      </c>
    </row>
    <row r="84" spans="1:10" ht="15.75" customHeight="1" x14ac:dyDescent="0.3">
      <c r="A84" s="22" t="s">
        <v>175</v>
      </c>
      <c r="B84" s="22" t="s">
        <v>11</v>
      </c>
      <c r="C84" s="22" t="s">
        <v>21</v>
      </c>
      <c r="D84" s="22" t="s">
        <v>13</v>
      </c>
      <c r="E84" s="22">
        <v>6381.67</v>
      </c>
      <c r="F84" s="24">
        <v>5</v>
      </c>
      <c r="G84" s="22">
        <v>0.2</v>
      </c>
      <c r="H84" s="23">
        <v>45474</v>
      </c>
      <c r="I84" s="22">
        <v>9266.27</v>
      </c>
      <c r="J84" s="22" t="str">
        <f>TEXT(Table1[[#This Row],[Order_Date]],"MMM")</f>
        <v>Jul</v>
      </c>
    </row>
    <row r="85" spans="1:10" ht="15.75" customHeight="1" x14ac:dyDescent="0.3">
      <c r="A85" s="22" t="s">
        <v>176</v>
      </c>
      <c r="B85" s="22" t="s">
        <v>15</v>
      </c>
      <c r="C85" s="22" t="s">
        <v>21</v>
      </c>
      <c r="D85" s="22" t="s">
        <v>16</v>
      </c>
      <c r="E85" s="22">
        <v>6446.86</v>
      </c>
      <c r="F85" s="24">
        <v>3</v>
      </c>
      <c r="G85" s="22">
        <v>0.2</v>
      </c>
      <c r="H85" s="23">
        <v>45475</v>
      </c>
      <c r="I85" s="22">
        <v>9375.23</v>
      </c>
      <c r="J85" s="22" t="str">
        <f>TEXT(Table1[[#This Row],[Order_Date]],"MMM")</f>
        <v>Jul</v>
      </c>
    </row>
    <row r="86" spans="1:10" ht="15.75" customHeight="1" x14ac:dyDescent="0.3">
      <c r="A86" s="22" t="s">
        <v>177</v>
      </c>
      <c r="B86" s="22" t="s">
        <v>11</v>
      </c>
      <c r="C86" s="22" t="s">
        <v>21</v>
      </c>
      <c r="D86" s="22" t="s">
        <v>13</v>
      </c>
      <c r="E86" s="22">
        <v>6512.05</v>
      </c>
      <c r="F86" s="24">
        <v>7</v>
      </c>
      <c r="G86" s="22">
        <v>0.2</v>
      </c>
      <c r="H86" s="23">
        <v>45476</v>
      </c>
      <c r="I86" s="22">
        <v>9484.19</v>
      </c>
      <c r="J86" s="22" t="str">
        <f>TEXT(Table1[[#This Row],[Order_Date]],"MMM")</f>
        <v>Jul</v>
      </c>
    </row>
    <row r="87" spans="1:10" ht="15.75" customHeight="1" x14ac:dyDescent="0.3">
      <c r="A87" s="22" t="s">
        <v>178</v>
      </c>
      <c r="B87" s="22" t="s">
        <v>15</v>
      </c>
      <c r="C87" s="22" t="s">
        <v>21</v>
      </c>
      <c r="D87" s="22" t="s">
        <v>16</v>
      </c>
      <c r="E87" s="22">
        <v>6577.2400000000098</v>
      </c>
      <c r="F87" s="24">
        <v>1</v>
      </c>
      <c r="G87" s="22">
        <v>0.2</v>
      </c>
      <c r="H87" s="23">
        <v>45477</v>
      </c>
      <c r="I87" s="22">
        <v>9593.15</v>
      </c>
      <c r="J87" s="22" t="str">
        <f>TEXT(Table1[[#This Row],[Order_Date]],"MMM")</f>
        <v>Jul</v>
      </c>
    </row>
    <row r="88" spans="1:10" ht="15.75" customHeight="1" x14ac:dyDescent="0.3">
      <c r="A88" s="22" t="s">
        <v>179</v>
      </c>
      <c r="B88" s="22" t="s">
        <v>11</v>
      </c>
      <c r="C88" s="22" t="s">
        <v>21</v>
      </c>
      <c r="D88" s="22" t="s">
        <v>13</v>
      </c>
      <c r="E88" s="22">
        <v>6642.43</v>
      </c>
      <c r="F88" s="24">
        <v>18</v>
      </c>
      <c r="G88" s="22">
        <v>0.2</v>
      </c>
      <c r="H88" s="23">
        <v>45478</v>
      </c>
      <c r="I88" s="22">
        <v>9702.11</v>
      </c>
      <c r="J88" s="22" t="str">
        <f>TEXT(Table1[[#This Row],[Order_Date]],"MMM")</f>
        <v>Jul</v>
      </c>
    </row>
    <row r="89" spans="1:10" ht="15.75" customHeight="1" x14ac:dyDescent="0.3">
      <c r="A89" s="22" t="s">
        <v>180</v>
      </c>
      <c r="B89" s="22" t="s">
        <v>15</v>
      </c>
      <c r="C89" s="22" t="s">
        <v>21</v>
      </c>
      <c r="D89" s="22" t="s">
        <v>16</v>
      </c>
      <c r="E89" s="22">
        <v>6707.62</v>
      </c>
      <c r="F89" s="24">
        <v>19</v>
      </c>
      <c r="G89" s="22">
        <v>0.2</v>
      </c>
      <c r="H89" s="23">
        <v>45479</v>
      </c>
      <c r="I89" s="22">
        <v>9811.07</v>
      </c>
      <c r="J89" s="22" t="str">
        <f>TEXT(Table1[[#This Row],[Order_Date]],"MMM")</f>
        <v>Jul</v>
      </c>
    </row>
    <row r="90" spans="1:10" ht="15.75" customHeight="1" x14ac:dyDescent="0.3">
      <c r="A90" s="22" t="s">
        <v>181</v>
      </c>
      <c r="B90" s="22" t="s">
        <v>11</v>
      </c>
      <c r="C90" s="22" t="s">
        <v>21</v>
      </c>
      <c r="D90" s="22" t="s">
        <v>13</v>
      </c>
      <c r="E90" s="22">
        <v>6772.81</v>
      </c>
      <c r="F90" s="24">
        <v>17</v>
      </c>
      <c r="G90" s="22">
        <v>0.2</v>
      </c>
      <c r="H90" s="23">
        <v>45480</v>
      </c>
      <c r="I90" s="22">
        <v>9920.0300000000007</v>
      </c>
      <c r="J90" s="22" t="str">
        <f>TEXT(Table1[[#This Row],[Order_Date]],"MMM")</f>
        <v>Jul</v>
      </c>
    </row>
    <row r="91" spans="1:10" ht="15.75" customHeight="1" x14ac:dyDescent="0.3">
      <c r="A91" s="22" t="s">
        <v>182</v>
      </c>
      <c r="B91" s="22" t="s">
        <v>15</v>
      </c>
      <c r="C91" s="22" t="s">
        <v>21</v>
      </c>
      <c r="D91" s="22" t="s">
        <v>16</v>
      </c>
      <c r="E91" s="22">
        <v>6838.00000000001</v>
      </c>
      <c r="F91" s="24">
        <v>7</v>
      </c>
      <c r="G91" s="22">
        <v>0.2</v>
      </c>
      <c r="H91" s="23">
        <v>45481</v>
      </c>
      <c r="I91" s="22">
        <v>10028.99</v>
      </c>
      <c r="J91" s="22" t="str">
        <f>TEXT(Table1[[#This Row],[Order_Date]],"MMM")</f>
        <v>Jul</v>
      </c>
    </row>
    <row r="92" spans="1:10" ht="15.75" customHeight="1" x14ac:dyDescent="0.3">
      <c r="A92" s="22" t="s">
        <v>183</v>
      </c>
      <c r="B92" s="22" t="s">
        <v>11</v>
      </c>
      <c r="C92" s="22" t="s">
        <v>21</v>
      </c>
      <c r="D92" s="22" t="s">
        <v>13</v>
      </c>
      <c r="E92" s="22">
        <v>6903.19</v>
      </c>
      <c r="F92" s="24">
        <v>7</v>
      </c>
      <c r="G92" s="22">
        <v>0.2</v>
      </c>
      <c r="H92" s="23">
        <v>45482</v>
      </c>
      <c r="I92" s="22">
        <v>10137.950000000001</v>
      </c>
      <c r="J92" s="22" t="str">
        <f>TEXT(Table1[[#This Row],[Order_Date]],"MMM")</f>
        <v>Jul</v>
      </c>
    </row>
    <row r="93" spans="1:10" ht="15.75" customHeight="1" x14ac:dyDescent="0.3">
      <c r="A93" s="22" t="s">
        <v>184</v>
      </c>
      <c r="B93" s="22" t="s">
        <v>15</v>
      </c>
      <c r="C93" s="22" t="s">
        <v>21</v>
      </c>
      <c r="D93" s="22" t="s">
        <v>16</v>
      </c>
      <c r="E93" s="22">
        <v>6968.38</v>
      </c>
      <c r="F93" s="24">
        <v>4</v>
      </c>
      <c r="G93" s="22">
        <v>0.2</v>
      </c>
      <c r="H93" s="23">
        <v>45483</v>
      </c>
      <c r="I93" s="22">
        <v>10246.91</v>
      </c>
      <c r="J93" s="22" t="str">
        <f>TEXT(Table1[[#This Row],[Order_Date]],"MMM")</f>
        <v>Jul</v>
      </c>
    </row>
    <row r="94" spans="1:10" ht="15.75" customHeight="1" x14ac:dyDescent="0.3">
      <c r="A94" s="22" t="s">
        <v>185</v>
      </c>
      <c r="B94" s="22" t="s">
        <v>11</v>
      </c>
      <c r="C94" s="22" t="s">
        <v>21</v>
      </c>
      <c r="D94" s="22" t="s">
        <v>13</v>
      </c>
      <c r="E94" s="22">
        <v>7033.5700000000097</v>
      </c>
      <c r="F94" s="24">
        <v>17</v>
      </c>
      <c r="G94" s="22">
        <v>0.2</v>
      </c>
      <c r="H94" s="23">
        <v>45484</v>
      </c>
      <c r="I94" s="22">
        <v>10355.870000000001</v>
      </c>
      <c r="J94" s="22" t="str">
        <f>TEXT(Table1[[#This Row],[Order_Date]],"MMM")</f>
        <v>Jul</v>
      </c>
    </row>
    <row r="95" spans="1:10" ht="15.75" customHeight="1" x14ac:dyDescent="0.3">
      <c r="A95" s="22" t="s">
        <v>186</v>
      </c>
      <c r="B95" s="22" t="s">
        <v>15</v>
      </c>
      <c r="C95" s="22" t="s">
        <v>21</v>
      </c>
      <c r="D95" s="22" t="s">
        <v>16</v>
      </c>
      <c r="E95" s="22">
        <v>7098.7600000000102</v>
      </c>
      <c r="F95" s="24">
        <v>9</v>
      </c>
      <c r="G95" s="22">
        <v>0.2</v>
      </c>
      <c r="H95" s="23">
        <v>45485</v>
      </c>
      <c r="I95" s="22">
        <v>10464.83</v>
      </c>
      <c r="J95" s="22" t="str">
        <f>TEXT(Table1[[#This Row],[Order_Date]],"MMM")</f>
        <v>Jul</v>
      </c>
    </row>
    <row r="96" spans="1:10" ht="15.75" customHeight="1" x14ac:dyDescent="0.3">
      <c r="A96" s="22" t="s">
        <v>187</v>
      </c>
      <c r="B96" s="22" t="s">
        <v>11</v>
      </c>
      <c r="C96" s="22" t="s">
        <v>21</v>
      </c>
      <c r="D96" s="22" t="s">
        <v>13</v>
      </c>
      <c r="E96" s="22">
        <v>7163.9500000000098</v>
      </c>
      <c r="F96" s="24">
        <v>19</v>
      </c>
      <c r="G96" s="22">
        <v>0.2</v>
      </c>
      <c r="H96" s="23">
        <v>45486</v>
      </c>
      <c r="I96" s="22">
        <v>10573.79</v>
      </c>
      <c r="J96" s="22" t="str">
        <f>TEXT(Table1[[#This Row],[Order_Date]],"MMM")</f>
        <v>Jul</v>
      </c>
    </row>
    <row r="97" spans="1:10" ht="15.75" customHeight="1" x14ac:dyDescent="0.3">
      <c r="A97" s="22" t="s">
        <v>188</v>
      </c>
      <c r="B97" s="22" t="s">
        <v>15</v>
      </c>
      <c r="C97" s="22" t="s">
        <v>21</v>
      </c>
      <c r="D97" s="22" t="s">
        <v>16</v>
      </c>
      <c r="E97" s="22">
        <v>7229.14</v>
      </c>
      <c r="F97" s="24">
        <v>11</v>
      </c>
      <c r="G97" s="22">
        <v>0.2</v>
      </c>
      <c r="H97" s="23">
        <v>45487</v>
      </c>
      <c r="I97" s="22">
        <v>10682.75</v>
      </c>
      <c r="J97" s="22" t="str">
        <f>TEXT(Table1[[#This Row],[Order_Date]],"MMM")</f>
        <v>Jul</v>
      </c>
    </row>
    <row r="98" spans="1:10" ht="15.75" customHeight="1" x14ac:dyDescent="0.3">
      <c r="A98" s="22" t="s">
        <v>189</v>
      </c>
      <c r="B98" s="22" t="s">
        <v>11</v>
      </c>
      <c r="C98" s="22" t="s">
        <v>21</v>
      </c>
      <c r="D98" s="22" t="s">
        <v>13</v>
      </c>
      <c r="E98" s="22">
        <v>7294.3300000000099</v>
      </c>
      <c r="F98" s="24">
        <v>16</v>
      </c>
      <c r="G98" s="22">
        <v>0.2</v>
      </c>
      <c r="H98" s="23">
        <v>45488</v>
      </c>
      <c r="I98" s="22">
        <v>10791.71</v>
      </c>
      <c r="J98" s="22" t="str">
        <f>TEXT(Table1[[#This Row],[Order_Date]],"MMM")</f>
        <v>Jul</v>
      </c>
    </row>
    <row r="99" spans="1:10" ht="15.75" customHeight="1" x14ac:dyDescent="0.3">
      <c r="A99" s="22" t="s">
        <v>190</v>
      </c>
      <c r="B99" s="22" t="s">
        <v>15</v>
      </c>
      <c r="C99" s="22" t="s">
        <v>21</v>
      </c>
      <c r="D99" s="22" t="s">
        <v>16</v>
      </c>
      <c r="E99" s="22">
        <v>7359.5200000000104</v>
      </c>
      <c r="F99" s="24">
        <v>4</v>
      </c>
      <c r="G99" s="22">
        <v>0.2</v>
      </c>
      <c r="H99" s="23">
        <v>45489</v>
      </c>
      <c r="I99" s="22">
        <v>10900.67</v>
      </c>
      <c r="J99" s="22" t="str">
        <f>TEXT(Table1[[#This Row],[Order_Date]],"MMM")</f>
        <v>Jul</v>
      </c>
    </row>
    <row r="100" spans="1:10" ht="15.75" customHeight="1" x14ac:dyDescent="0.3">
      <c r="A100" s="22" t="s">
        <v>191</v>
      </c>
      <c r="B100" s="22" t="s">
        <v>11</v>
      </c>
      <c r="C100" s="22" t="s">
        <v>21</v>
      </c>
      <c r="D100" s="22" t="s">
        <v>13</v>
      </c>
      <c r="E100" s="22">
        <v>7424.71000000001</v>
      </c>
      <c r="F100" s="24">
        <v>1</v>
      </c>
      <c r="G100" s="22">
        <v>0.2</v>
      </c>
      <c r="H100" s="23">
        <v>45490</v>
      </c>
      <c r="I100" s="22">
        <v>11009.63</v>
      </c>
      <c r="J100" s="22" t="str">
        <f>TEXT(Table1[[#This Row],[Order_Date]],"MMM")</f>
        <v>Jul</v>
      </c>
    </row>
    <row r="101" spans="1:10" ht="15.75" customHeight="1" x14ac:dyDescent="0.3">
      <c r="A101" s="22" t="s">
        <v>192</v>
      </c>
      <c r="B101" s="22" t="s">
        <v>15</v>
      </c>
      <c r="C101" s="22" t="s">
        <v>21</v>
      </c>
      <c r="D101" s="22" t="s">
        <v>16</v>
      </c>
      <c r="E101" s="22">
        <v>7489.9</v>
      </c>
      <c r="F101" s="24">
        <v>13</v>
      </c>
      <c r="G101" s="22">
        <v>0.2</v>
      </c>
      <c r="H101" s="23">
        <v>45491</v>
      </c>
      <c r="I101" s="22">
        <v>11118.59</v>
      </c>
      <c r="J101" s="22" t="str">
        <f>TEXT(Table1[[#This Row],[Order_Date]],"MMM")</f>
        <v>Jul</v>
      </c>
    </row>
    <row r="102" spans="1:10" ht="15.75" customHeight="1" x14ac:dyDescent="0.3">
      <c r="A102" s="22" t="s">
        <v>193</v>
      </c>
      <c r="B102" s="22" t="s">
        <v>11</v>
      </c>
      <c r="C102" s="22" t="s">
        <v>21</v>
      </c>
      <c r="D102" s="22" t="s">
        <v>13</v>
      </c>
      <c r="E102" s="22">
        <v>7555.0900000000101</v>
      </c>
      <c r="F102" s="24">
        <v>19</v>
      </c>
      <c r="G102" s="22">
        <v>0.2</v>
      </c>
      <c r="H102" s="23">
        <v>45492</v>
      </c>
      <c r="I102" s="22">
        <v>11227.55</v>
      </c>
      <c r="J102" s="22" t="str">
        <f>TEXT(Table1[[#This Row],[Order_Date]],"MMM")</f>
        <v>Jul</v>
      </c>
    </row>
    <row r="103" spans="1:10" ht="15.75" customHeight="1" x14ac:dyDescent="0.3">
      <c r="A103" s="22" t="s">
        <v>194</v>
      </c>
      <c r="B103" s="22" t="s">
        <v>15</v>
      </c>
      <c r="C103" s="22" t="s">
        <v>302</v>
      </c>
      <c r="D103" s="22" t="s">
        <v>16</v>
      </c>
      <c r="E103" s="22">
        <v>7620.2800000000097</v>
      </c>
      <c r="F103" s="24">
        <v>2</v>
      </c>
      <c r="G103" s="22">
        <v>0.2</v>
      </c>
      <c r="H103" s="23">
        <v>45493</v>
      </c>
      <c r="I103" s="22">
        <v>11336.51</v>
      </c>
      <c r="J103" s="22" t="str">
        <f>TEXT(Table1[[#This Row],[Order_Date]],"MMM")</f>
        <v>Jul</v>
      </c>
    </row>
    <row r="104" spans="1:10" ht="15.75" customHeight="1" x14ac:dyDescent="0.3">
      <c r="A104" s="22" t="s">
        <v>195</v>
      </c>
      <c r="B104" s="22" t="s">
        <v>11</v>
      </c>
      <c r="C104" s="22" t="s">
        <v>302</v>
      </c>
      <c r="D104" s="22" t="s">
        <v>13</v>
      </c>
      <c r="E104" s="22">
        <v>7685.4700000000103</v>
      </c>
      <c r="F104" s="24">
        <v>6</v>
      </c>
      <c r="G104" s="22">
        <v>0.2</v>
      </c>
      <c r="H104" s="23">
        <v>45494</v>
      </c>
      <c r="I104" s="22">
        <v>11445.47</v>
      </c>
      <c r="J104" s="22" t="str">
        <f>TEXT(Table1[[#This Row],[Order_Date]],"MMM")</f>
        <v>Jul</v>
      </c>
    </row>
    <row r="105" spans="1:10" ht="15.75" customHeight="1" x14ac:dyDescent="0.3">
      <c r="A105" s="22" t="s">
        <v>196</v>
      </c>
      <c r="B105" s="22" t="s">
        <v>15</v>
      </c>
      <c r="C105" s="22" t="s">
        <v>302</v>
      </c>
      <c r="D105" s="22" t="s">
        <v>16</v>
      </c>
      <c r="E105" s="22">
        <v>7750.6600000000099</v>
      </c>
      <c r="F105" s="24">
        <v>7</v>
      </c>
      <c r="G105" s="22">
        <v>0.2</v>
      </c>
      <c r="H105" s="23">
        <v>45495</v>
      </c>
      <c r="I105" s="22">
        <v>11554.43</v>
      </c>
      <c r="J105" s="22" t="str">
        <f>TEXT(Table1[[#This Row],[Order_Date]],"MMM")</f>
        <v>Jul</v>
      </c>
    </row>
    <row r="106" spans="1:10" ht="15.75" customHeight="1" x14ac:dyDescent="0.3">
      <c r="A106" s="22" t="s">
        <v>197</v>
      </c>
      <c r="B106" s="22" t="s">
        <v>11</v>
      </c>
      <c r="C106" s="22" t="s">
        <v>302</v>
      </c>
      <c r="D106" s="22" t="s">
        <v>13</v>
      </c>
      <c r="E106" s="22">
        <v>7815.8500000000104</v>
      </c>
      <c r="F106" s="24">
        <v>11</v>
      </c>
      <c r="G106" s="22">
        <v>0.2</v>
      </c>
      <c r="H106" s="23">
        <v>45496</v>
      </c>
      <c r="I106" s="22">
        <v>11663.39</v>
      </c>
      <c r="J106" s="22" t="str">
        <f>TEXT(Table1[[#This Row],[Order_Date]],"MMM")</f>
        <v>Jul</v>
      </c>
    </row>
    <row r="107" spans="1:10" ht="15.75" customHeight="1" x14ac:dyDescent="0.3">
      <c r="A107" s="22" t="s">
        <v>198</v>
      </c>
      <c r="B107" s="22" t="s">
        <v>15</v>
      </c>
      <c r="C107" s="22" t="s">
        <v>302</v>
      </c>
      <c r="D107" s="22" t="s">
        <v>16</v>
      </c>
      <c r="E107" s="22">
        <v>7881.04000000001</v>
      </c>
      <c r="F107" s="24">
        <v>10</v>
      </c>
      <c r="G107" s="22">
        <v>0.2</v>
      </c>
      <c r="H107" s="23">
        <v>45497</v>
      </c>
      <c r="I107" s="22">
        <v>11772.35</v>
      </c>
      <c r="J107" s="22" t="str">
        <f>TEXT(Table1[[#This Row],[Order_Date]],"MMM")</f>
        <v>Jul</v>
      </c>
    </row>
    <row r="108" spans="1:10" ht="15.75" customHeight="1" x14ac:dyDescent="0.3">
      <c r="A108" s="22" t="s">
        <v>199</v>
      </c>
      <c r="B108" s="22" t="s">
        <v>11</v>
      </c>
      <c r="C108" s="22" t="s">
        <v>302</v>
      </c>
      <c r="D108" s="22" t="s">
        <v>13</v>
      </c>
      <c r="E108" s="22">
        <v>7946.2300000000096</v>
      </c>
      <c r="F108" s="24">
        <v>12</v>
      </c>
      <c r="G108" s="22">
        <v>0.2</v>
      </c>
      <c r="H108" s="23">
        <v>45498</v>
      </c>
      <c r="I108" s="22">
        <v>11881.31</v>
      </c>
      <c r="J108" s="22" t="str">
        <f>TEXT(Table1[[#This Row],[Order_Date]],"MMM")</f>
        <v>Jul</v>
      </c>
    </row>
    <row r="109" spans="1:10" ht="15.75" customHeight="1" x14ac:dyDescent="0.3">
      <c r="A109" s="22" t="s">
        <v>200</v>
      </c>
      <c r="B109" s="22" t="s">
        <v>15</v>
      </c>
      <c r="C109" s="22" t="s">
        <v>302</v>
      </c>
      <c r="D109" s="22" t="s">
        <v>16</v>
      </c>
      <c r="E109" s="22">
        <v>8011.4200000000101</v>
      </c>
      <c r="F109" s="24">
        <v>17</v>
      </c>
      <c r="G109" s="22">
        <v>0.2</v>
      </c>
      <c r="H109" s="23">
        <v>45499</v>
      </c>
      <c r="I109" s="22">
        <v>11990.27</v>
      </c>
      <c r="J109" s="22" t="str">
        <f>TEXT(Table1[[#This Row],[Order_Date]],"MMM")</f>
        <v>Jul</v>
      </c>
    </row>
    <row r="110" spans="1:10" ht="15.75" customHeight="1" x14ac:dyDescent="0.3">
      <c r="A110" s="22" t="s">
        <v>201</v>
      </c>
      <c r="B110" s="22" t="s">
        <v>11</v>
      </c>
      <c r="C110" s="22" t="s">
        <v>302</v>
      </c>
      <c r="D110" s="22" t="s">
        <v>13</v>
      </c>
      <c r="E110" s="22">
        <v>8076.6100000000097</v>
      </c>
      <c r="F110" s="24">
        <v>8</v>
      </c>
      <c r="G110" s="22">
        <v>0.2</v>
      </c>
      <c r="H110" s="23">
        <v>45500</v>
      </c>
      <c r="I110" s="22">
        <v>12099.23</v>
      </c>
      <c r="J110" s="22" t="str">
        <f>TEXT(Table1[[#This Row],[Order_Date]],"MMM")</f>
        <v>Jul</v>
      </c>
    </row>
    <row r="111" spans="1:10" ht="15.75" customHeight="1" x14ac:dyDescent="0.3">
      <c r="A111" s="22" t="s">
        <v>202</v>
      </c>
      <c r="B111" s="22" t="s">
        <v>15</v>
      </c>
      <c r="C111" s="22" t="s">
        <v>302</v>
      </c>
      <c r="D111" s="22" t="s">
        <v>16</v>
      </c>
      <c r="E111" s="22">
        <v>8141.8000000000102</v>
      </c>
      <c r="F111" s="24">
        <v>13</v>
      </c>
      <c r="G111" s="22">
        <v>0.2</v>
      </c>
      <c r="H111" s="23">
        <v>45501</v>
      </c>
      <c r="I111" s="22">
        <v>12208.19</v>
      </c>
      <c r="J111" s="22" t="str">
        <f>TEXT(Table1[[#This Row],[Order_Date]],"MMM")</f>
        <v>Jul</v>
      </c>
    </row>
    <row r="112" spans="1:10" ht="15.75" customHeight="1" x14ac:dyDescent="0.3">
      <c r="A112" s="22" t="s">
        <v>203</v>
      </c>
      <c r="B112" s="22" t="s">
        <v>11</v>
      </c>
      <c r="C112" s="22" t="s">
        <v>302</v>
      </c>
      <c r="D112" s="22" t="s">
        <v>13</v>
      </c>
      <c r="E112" s="22">
        <v>8206.9900000000107</v>
      </c>
      <c r="F112" s="24">
        <v>17</v>
      </c>
      <c r="G112" s="22">
        <v>0.2</v>
      </c>
      <c r="H112" s="23">
        <v>45502</v>
      </c>
      <c r="I112" s="22">
        <v>12317.15</v>
      </c>
      <c r="J112" s="22" t="str">
        <f>TEXT(Table1[[#This Row],[Order_Date]],"MMM")</f>
        <v>Jul</v>
      </c>
    </row>
    <row r="113" spans="1:10" ht="15.75" customHeight="1" x14ac:dyDescent="0.3">
      <c r="A113" s="22" t="s">
        <v>204</v>
      </c>
      <c r="B113" s="22" t="s">
        <v>15</v>
      </c>
      <c r="C113" s="22" t="s">
        <v>302</v>
      </c>
      <c r="D113" s="22" t="s">
        <v>16</v>
      </c>
      <c r="E113" s="22">
        <v>8272.1800000000094</v>
      </c>
      <c r="F113" s="24">
        <v>8</v>
      </c>
      <c r="G113" s="22">
        <v>0.2</v>
      </c>
      <c r="H113" s="23">
        <v>45503</v>
      </c>
      <c r="I113" s="22">
        <v>12426.11</v>
      </c>
      <c r="J113" s="22" t="str">
        <f>TEXT(Table1[[#This Row],[Order_Date]],"MMM")</f>
        <v>Jul</v>
      </c>
    </row>
    <row r="114" spans="1:10" ht="15.75" customHeight="1" x14ac:dyDescent="0.3">
      <c r="A114" s="22" t="s">
        <v>205</v>
      </c>
      <c r="B114" s="22" t="s">
        <v>11</v>
      </c>
      <c r="C114" s="22" t="s">
        <v>302</v>
      </c>
      <c r="D114" s="22" t="s">
        <v>13</v>
      </c>
      <c r="E114" s="22">
        <v>8337.3700000000099</v>
      </c>
      <c r="F114" s="24">
        <v>8</v>
      </c>
      <c r="G114" s="22">
        <v>0.2</v>
      </c>
      <c r="H114" s="23">
        <v>45504</v>
      </c>
      <c r="I114" s="22">
        <v>12535.07</v>
      </c>
      <c r="J114" s="22" t="str">
        <f>TEXT(Table1[[#This Row],[Order_Date]],"MMM")</f>
        <v>Jul</v>
      </c>
    </row>
    <row r="115" spans="1:10" ht="15.75" customHeight="1" x14ac:dyDescent="0.3">
      <c r="A115" s="22" t="s">
        <v>206</v>
      </c>
      <c r="B115" s="22" t="s">
        <v>15</v>
      </c>
      <c r="C115" s="22" t="s">
        <v>302</v>
      </c>
      <c r="D115" s="22" t="s">
        <v>16</v>
      </c>
      <c r="E115" s="22">
        <v>8402.5600000000104</v>
      </c>
      <c r="F115" s="24">
        <v>19</v>
      </c>
      <c r="G115" s="22">
        <v>0.2</v>
      </c>
      <c r="H115" s="23">
        <v>45505</v>
      </c>
      <c r="I115" s="22">
        <v>12644.03</v>
      </c>
      <c r="J115" s="22" t="str">
        <f>TEXT(Table1[[#This Row],[Order_Date]],"MMM")</f>
        <v>Aug</v>
      </c>
    </row>
    <row r="116" spans="1:10" ht="15.75" customHeight="1" x14ac:dyDescent="0.3">
      <c r="A116" s="22" t="s">
        <v>207</v>
      </c>
      <c r="B116" s="22" t="s">
        <v>11</v>
      </c>
      <c r="C116" s="22" t="s">
        <v>302</v>
      </c>
      <c r="D116" s="22" t="s">
        <v>13</v>
      </c>
      <c r="E116" s="22">
        <v>8467.7500000000091</v>
      </c>
      <c r="F116" s="24">
        <v>9</v>
      </c>
      <c r="G116" s="22">
        <v>0.2</v>
      </c>
      <c r="H116" s="23">
        <v>45506</v>
      </c>
      <c r="I116" s="22">
        <v>12752.99</v>
      </c>
      <c r="J116" s="22" t="str">
        <f>TEXT(Table1[[#This Row],[Order_Date]],"MMM")</f>
        <v>Aug</v>
      </c>
    </row>
    <row r="117" spans="1:10" ht="15.75" customHeight="1" x14ac:dyDescent="0.3">
      <c r="A117" s="22" t="s">
        <v>208</v>
      </c>
      <c r="B117" s="22" t="s">
        <v>15</v>
      </c>
      <c r="C117" s="22" t="s">
        <v>302</v>
      </c>
      <c r="D117" s="22" t="s">
        <v>16</v>
      </c>
      <c r="E117" s="22">
        <v>8532.9400000000096</v>
      </c>
      <c r="F117" s="24">
        <v>14</v>
      </c>
      <c r="G117" s="22">
        <v>0.2</v>
      </c>
      <c r="H117" s="23">
        <v>45507</v>
      </c>
      <c r="I117" s="22">
        <v>12861.95</v>
      </c>
      <c r="J117" s="22" t="str">
        <f>TEXT(Table1[[#This Row],[Order_Date]],"MMM")</f>
        <v>Aug</v>
      </c>
    </row>
    <row r="118" spans="1:10" ht="15.75" customHeight="1" x14ac:dyDescent="0.3">
      <c r="A118" s="22" t="s">
        <v>209</v>
      </c>
      <c r="B118" s="22" t="s">
        <v>11</v>
      </c>
      <c r="C118" s="22" t="s">
        <v>302</v>
      </c>
      <c r="D118" s="22" t="s">
        <v>13</v>
      </c>
      <c r="E118" s="22">
        <v>8598.1300000000101</v>
      </c>
      <c r="F118" s="24">
        <v>7</v>
      </c>
      <c r="G118" s="22">
        <v>0.2</v>
      </c>
      <c r="H118" s="23">
        <v>45508</v>
      </c>
      <c r="I118" s="22">
        <v>12970.91</v>
      </c>
      <c r="J118" s="22" t="str">
        <f>TEXT(Table1[[#This Row],[Order_Date]],"MMM")</f>
        <v>Aug</v>
      </c>
    </row>
    <row r="119" spans="1:10" ht="15.75" customHeight="1" x14ac:dyDescent="0.3">
      <c r="A119" s="22" t="s">
        <v>210</v>
      </c>
      <c r="B119" s="22" t="s">
        <v>15</v>
      </c>
      <c r="C119" s="22" t="s">
        <v>302</v>
      </c>
      <c r="D119" s="22" t="s">
        <v>16</v>
      </c>
      <c r="E119" s="22">
        <v>8663.3200000000106</v>
      </c>
      <c r="F119" s="24">
        <v>16</v>
      </c>
      <c r="G119" s="22">
        <v>0.2</v>
      </c>
      <c r="H119" s="23">
        <v>45509</v>
      </c>
      <c r="I119" s="22">
        <v>13079.87</v>
      </c>
      <c r="J119" s="22" t="str">
        <f>TEXT(Table1[[#This Row],[Order_Date]],"MMM")</f>
        <v>Aug</v>
      </c>
    </row>
    <row r="120" spans="1:10" ht="15.75" customHeight="1" x14ac:dyDescent="0.3">
      <c r="A120" s="22" t="s">
        <v>211</v>
      </c>
      <c r="B120" s="22" t="s">
        <v>11</v>
      </c>
      <c r="C120" s="22" t="s">
        <v>302</v>
      </c>
      <c r="D120" s="22" t="s">
        <v>13</v>
      </c>
      <c r="E120" s="22">
        <v>8728.5100000000093</v>
      </c>
      <c r="F120" s="24">
        <v>17</v>
      </c>
      <c r="G120" s="22">
        <v>0.2</v>
      </c>
      <c r="H120" s="23">
        <v>45510</v>
      </c>
      <c r="I120" s="22">
        <v>13188.83</v>
      </c>
      <c r="J120" s="22" t="str">
        <f>TEXT(Table1[[#This Row],[Order_Date]],"MMM")</f>
        <v>Aug</v>
      </c>
    </row>
    <row r="121" spans="1:10" ht="15.75" customHeight="1" x14ac:dyDescent="0.3">
      <c r="A121" s="22" t="s">
        <v>212</v>
      </c>
      <c r="B121" s="22" t="s">
        <v>15</v>
      </c>
      <c r="C121" s="22" t="s">
        <v>302</v>
      </c>
      <c r="D121" s="22" t="s">
        <v>16</v>
      </c>
      <c r="E121" s="22">
        <v>8793.7000000000098</v>
      </c>
      <c r="F121" s="24">
        <v>1</v>
      </c>
      <c r="G121" s="22">
        <v>0.2</v>
      </c>
      <c r="H121" s="23">
        <v>45511</v>
      </c>
      <c r="I121" s="22">
        <v>13297.79</v>
      </c>
      <c r="J121" s="22" t="str">
        <f>TEXT(Table1[[#This Row],[Order_Date]],"MMM")</f>
        <v>Aug</v>
      </c>
    </row>
    <row r="122" spans="1:10" ht="15.75" customHeight="1" x14ac:dyDescent="0.3">
      <c r="A122" s="22" t="s">
        <v>213</v>
      </c>
      <c r="B122" s="22" t="s">
        <v>11</v>
      </c>
      <c r="C122" s="22" t="s">
        <v>302</v>
      </c>
      <c r="D122" s="22" t="s">
        <v>13</v>
      </c>
      <c r="E122" s="22">
        <v>8858.8900000000103</v>
      </c>
      <c r="F122" s="24">
        <v>1</v>
      </c>
      <c r="G122" s="22">
        <v>0.2</v>
      </c>
      <c r="H122" s="23">
        <v>45512</v>
      </c>
      <c r="I122" s="22">
        <v>13406.75</v>
      </c>
      <c r="J122" s="22" t="str">
        <f>TEXT(Table1[[#This Row],[Order_Date]],"MMM")</f>
        <v>Aug</v>
      </c>
    </row>
    <row r="123" spans="1:10" ht="15.75" customHeight="1" x14ac:dyDescent="0.3">
      <c r="A123" s="22" t="s">
        <v>214</v>
      </c>
      <c r="B123" s="22" t="s">
        <v>15</v>
      </c>
      <c r="C123" s="22" t="s">
        <v>302</v>
      </c>
      <c r="D123" s="22" t="s">
        <v>16</v>
      </c>
      <c r="E123" s="22">
        <v>8924.0800000000108</v>
      </c>
      <c r="F123" s="24">
        <v>1</v>
      </c>
      <c r="G123" s="22">
        <v>0.2</v>
      </c>
      <c r="H123" s="23">
        <v>45513</v>
      </c>
      <c r="I123" s="22">
        <v>13515.71</v>
      </c>
      <c r="J123" s="22" t="str">
        <f>TEXT(Table1[[#This Row],[Order_Date]],"MMM")</f>
        <v>Aug</v>
      </c>
    </row>
    <row r="124" spans="1:10" ht="15.75" customHeight="1" x14ac:dyDescent="0.3">
      <c r="A124" s="22" t="s">
        <v>215</v>
      </c>
      <c r="B124" s="22" t="s">
        <v>11</v>
      </c>
      <c r="C124" s="22" t="s">
        <v>302</v>
      </c>
      <c r="D124" s="22" t="s">
        <v>13</v>
      </c>
      <c r="E124" s="22">
        <v>8989.2700000000095</v>
      </c>
      <c r="F124" s="24">
        <v>15</v>
      </c>
      <c r="G124" s="22">
        <v>0.2</v>
      </c>
      <c r="H124" s="23">
        <v>45514</v>
      </c>
      <c r="I124" s="22">
        <v>13624.67</v>
      </c>
      <c r="J124" s="22" t="str">
        <f>TEXT(Table1[[#This Row],[Order_Date]],"MMM")</f>
        <v>Aug</v>
      </c>
    </row>
    <row r="125" spans="1:10" ht="15.75" customHeight="1" x14ac:dyDescent="0.3">
      <c r="A125" s="22" t="s">
        <v>216</v>
      </c>
      <c r="B125" s="22" t="s">
        <v>15</v>
      </c>
      <c r="C125" s="22" t="s">
        <v>302</v>
      </c>
      <c r="D125" s="22" t="s">
        <v>16</v>
      </c>
      <c r="E125" s="22">
        <v>9054.46000000001</v>
      </c>
      <c r="F125" s="24">
        <v>4</v>
      </c>
      <c r="G125" s="22">
        <v>0.2</v>
      </c>
      <c r="H125" s="23">
        <v>45515</v>
      </c>
      <c r="I125" s="22">
        <v>13733.63</v>
      </c>
      <c r="J125" s="22" t="str">
        <f>TEXT(Table1[[#This Row],[Order_Date]],"MMM")</f>
        <v>Aug</v>
      </c>
    </row>
    <row r="126" spans="1:10" ht="15.75" customHeight="1" x14ac:dyDescent="0.3">
      <c r="A126" s="22" t="s">
        <v>217</v>
      </c>
      <c r="B126" s="22" t="s">
        <v>11</v>
      </c>
      <c r="C126" s="22" t="s">
        <v>302</v>
      </c>
      <c r="D126" s="22" t="s">
        <v>13</v>
      </c>
      <c r="E126" s="22">
        <v>9119.6500000000106</v>
      </c>
      <c r="F126" s="24">
        <v>14</v>
      </c>
      <c r="G126" s="22">
        <v>0.2</v>
      </c>
      <c r="H126" s="23">
        <v>45516</v>
      </c>
      <c r="I126" s="22">
        <v>13842.59</v>
      </c>
      <c r="J126" s="22" t="str">
        <f>TEXT(Table1[[#This Row],[Order_Date]],"MMM")</f>
        <v>Aug</v>
      </c>
    </row>
    <row r="127" spans="1:10" ht="15.75" customHeight="1" x14ac:dyDescent="0.3">
      <c r="A127" s="22" t="s">
        <v>218</v>
      </c>
      <c r="B127" s="22" t="s">
        <v>15</v>
      </c>
      <c r="C127" s="22" t="s">
        <v>302</v>
      </c>
      <c r="D127" s="22" t="s">
        <v>16</v>
      </c>
      <c r="E127" s="22">
        <v>9184.8400000000092</v>
      </c>
      <c r="F127" s="24">
        <v>2</v>
      </c>
      <c r="G127" s="22">
        <v>0.2</v>
      </c>
      <c r="H127" s="23">
        <v>45517</v>
      </c>
      <c r="I127" s="22">
        <v>13951.55</v>
      </c>
      <c r="J127" s="22" t="str">
        <f>TEXT(Table1[[#This Row],[Order_Date]],"MMM")</f>
        <v>Aug</v>
      </c>
    </row>
    <row r="128" spans="1:10" ht="15.75" customHeight="1" x14ac:dyDescent="0.3">
      <c r="A128" s="22" t="s">
        <v>219</v>
      </c>
      <c r="B128" s="22" t="s">
        <v>11</v>
      </c>
      <c r="C128" s="22" t="s">
        <v>18</v>
      </c>
      <c r="D128" s="22" t="s">
        <v>13</v>
      </c>
      <c r="E128" s="22">
        <v>9250.0300000000097</v>
      </c>
      <c r="F128" s="24">
        <v>4</v>
      </c>
      <c r="G128" s="22">
        <v>0.2</v>
      </c>
      <c r="H128" s="23">
        <v>45518</v>
      </c>
      <c r="I128" s="22">
        <v>14060.51</v>
      </c>
      <c r="J128" s="22" t="str">
        <f>TEXT(Table1[[#This Row],[Order_Date]],"MMM")</f>
        <v>Aug</v>
      </c>
    </row>
    <row r="129" spans="1:10" ht="15.75" customHeight="1" x14ac:dyDescent="0.3">
      <c r="A129" s="22" t="s">
        <v>220</v>
      </c>
      <c r="B129" s="22" t="s">
        <v>15</v>
      </c>
      <c r="C129" s="22" t="s">
        <v>18</v>
      </c>
      <c r="D129" s="22" t="s">
        <v>16</v>
      </c>
      <c r="E129" s="22">
        <v>9315.2200000000103</v>
      </c>
      <c r="F129" s="24">
        <v>3</v>
      </c>
      <c r="G129" s="22">
        <v>0.2</v>
      </c>
      <c r="H129" s="23">
        <v>45519</v>
      </c>
      <c r="I129" s="22">
        <v>14169.47</v>
      </c>
      <c r="J129" s="22" t="str">
        <f>TEXT(Table1[[#This Row],[Order_Date]],"MMM")</f>
        <v>Aug</v>
      </c>
    </row>
    <row r="130" spans="1:10" ht="15.75" customHeight="1" x14ac:dyDescent="0.3">
      <c r="A130" s="22" t="s">
        <v>221</v>
      </c>
      <c r="B130" s="22" t="s">
        <v>11</v>
      </c>
      <c r="C130" s="22" t="s">
        <v>18</v>
      </c>
      <c r="D130" s="22" t="s">
        <v>13</v>
      </c>
      <c r="E130" s="22">
        <v>9380.4100000000108</v>
      </c>
      <c r="F130" s="24">
        <v>5</v>
      </c>
      <c r="G130" s="22">
        <v>0.2</v>
      </c>
      <c r="H130" s="23">
        <v>45520</v>
      </c>
      <c r="I130" s="22">
        <v>14278.43</v>
      </c>
      <c r="J130" s="22" t="str">
        <f>TEXT(Table1[[#This Row],[Order_Date]],"MMM")</f>
        <v>Aug</v>
      </c>
    </row>
    <row r="131" spans="1:10" ht="15.75" customHeight="1" x14ac:dyDescent="0.3">
      <c r="A131" s="22" t="s">
        <v>222</v>
      </c>
      <c r="B131" s="22" t="s">
        <v>15</v>
      </c>
      <c r="C131" s="22" t="s">
        <v>18</v>
      </c>
      <c r="D131" s="22" t="s">
        <v>16</v>
      </c>
      <c r="E131" s="22">
        <v>9445.6000000000095</v>
      </c>
      <c r="F131" s="24">
        <v>10</v>
      </c>
      <c r="G131" s="22">
        <v>0.2</v>
      </c>
      <c r="H131" s="23">
        <v>45521</v>
      </c>
      <c r="I131" s="22">
        <v>14387.39</v>
      </c>
      <c r="J131" s="22" t="str">
        <f>TEXT(Table1[[#This Row],[Order_Date]],"MMM")</f>
        <v>Aug</v>
      </c>
    </row>
    <row r="132" spans="1:10" ht="15.75" customHeight="1" x14ac:dyDescent="0.3">
      <c r="A132" s="22" t="s">
        <v>223</v>
      </c>
      <c r="B132" s="22" t="s">
        <v>11</v>
      </c>
      <c r="C132" s="22" t="s">
        <v>18</v>
      </c>
      <c r="D132" s="22" t="s">
        <v>13</v>
      </c>
      <c r="E132" s="22">
        <v>9510.79000000001</v>
      </c>
      <c r="F132" s="24">
        <v>14</v>
      </c>
      <c r="G132" s="22">
        <v>0.2</v>
      </c>
      <c r="H132" s="23">
        <v>45522</v>
      </c>
      <c r="I132" s="22">
        <v>14496.35</v>
      </c>
      <c r="J132" s="22" t="str">
        <f>TEXT(Table1[[#This Row],[Order_Date]],"MMM")</f>
        <v>Aug</v>
      </c>
    </row>
    <row r="133" spans="1:10" ht="15.75" customHeight="1" x14ac:dyDescent="0.3">
      <c r="A133" s="22" t="s">
        <v>224</v>
      </c>
      <c r="B133" s="22" t="s">
        <v>15</v>
      </c>
      <c r="C133" s="22" t="s">
        <v>18</v>
      </c>
      <c r="D133" s="22" t="s">
        <v>16</v>
      </c>
      <c r="E133" s="22">
        <v>9575.9800000000105</v>
      </c>
      <c r="F133" s="24">
        <v>18</v>
      </c>
      <c r="G133" s="22">
        <v>0.2</v>
      </c>
      <c r="H133" s="23">
        <v>45523</v>
      </c>
      <c r="I133" s="22">
        <v>14605.31</v>
      </c>
      <c r="J133" s="22" t="str">
        <f>TEXT(Table1[[#This Row],[Order_Date]],"MMM")</f>
        <v>Aug</v>
      </c>
    </row>
    <row r="134" spans="1:10" ht="15.75" customHeight="1" x14ac:dyDescent="0.3">
      <c r="A134" s="22" t="s">
        <v>225</v>
      </c>
      <c r="B134" s="22" t="s">
        <v>11</v>
      </c>
      <c r="C134" s="22" t="s">
        <v>18</v>
      </c>
      <c r="D134" s="22" t="s">
        <v>13</v>
      </c>
      <c r="E134" s="22">
        <v>9641.1700000000092</v>
      </c>
      <c r="F134" s="24">
        <v>1</v>
      </c>
      <c r="G134" s="22">
        <v>0.2</v>
      </c>
      <c r="H134" s="23">
        <v>45524</v>
      </c>
      <c r="I134" s="22">
        <v>14714.27</v>
      </c>
      <c r="J134" s="22" t="str">
        <f>TEXT(Table1[[#This Row],[Order_Date]],"MMM")</f>
        <v>Aug</v>
      </c>
    </row>
    <row r="135" spans="1:10" ht="15.75" customHeight="1" x14ac:dyDescent="0.3">
      <c r="A135" s="22" t="s">
        <v>226</v>
      </c>
      <c r="B135" s="22" t="s">
        <v>15</v>
      </c>
      <c r="C135" s="22" t="s">
        <v>12</v>
      </c>
      <c r="D135" s="22" t="s">
        <v>16</v>
      </c>
      <c r="E135" s="22">
        <v>9706.3600000000097</v>
      </c>
      <c r="F135" s="24">
        <v>15</v>
      </c>
      <c r="G135" s="22">
        <v>0.2</v>
      </c>
      <c r="H135" s="23">
        <v>45525</v>
      </c>
      <c r="I135" s="22">
        <v>14823.23</v>
      </c>
      <c r="J135" s="22" t="str">
        <f>TEXT(Table1[[#This Row],[Order_Date]],"MMM")</f>
        <v>Aug</v>
      </c>
    </row>
    <row r="136" spans="1:10" ht="15.75" customHeight="1" x14ac:dyDescent="0.3">
      <c r="A136" s="22" t="s">
        <v>227</v>
      </c>
      <c r="B136" s="22" t="s">
        <v>11</v>
      </c>
      <c r="C136" s="22" t="s">
        <v>12</v>
      </c>
      <c r="D136" s="22" t="s">
        <v>13</v>
      </c>
      <c r="E136" s="22">
        <v>9771.5500000000102</v>
      </c>
      <c r="F136" s="24">
        <v>10</v>
      </c>
      <c r="G136" s="22">
        <v>0.2</v>
      </c>
      <c r="H136" s="23">
        <v>45526</v>
      </c>
      <c r="I136" s="22">
        <v>14932.19</v>
      </c>
      <c r="J136" s="22" t="str">
        <f>TEXT(Table1[[#This Row],[Order_Date]],"MMM")</f>
        <v>Aug</v>
      </c>
    </row>
    <row r="137" spans="1:10" ht="15.75" customHeight="1" x14ac:dyDescent="0.3">
      <c r="A137" s="22" t="s">
        <v>228</v>
      </c>
      <c r="B137" s="22" t="s">
        <v>15</v>
      </c>
      <c r="C137" s="22" t="s">
        <v>18</v>
      </c>
      <c r="D137" s="22" t="s">
        <v>16</v>
      </c>
      <c r="E137" s="22">
        <v>9836.7400000000107</v>
      </c>
      <c r="F137" s="24">
        <v>4</v>
      </c>
      <c r="G137" s="22">
        <v>0.2</v>
      </c>
      <c r="H137" s="23">
        <v>45527</v>
      </c>
      <c r="I137" s="22">
        <v>15041.15</v>
      </c>
      <c r="J137" s="22" t="str">
        <f>TEXT(Table1[[#This Row],[Order_Date]],"MMM")</f>
        <v>Aug</v>
      </c>
    </row>
    <row r="138" spans="1:10" ht="15.75" customHeight="1" x14ac:dyDescent="0.3">
      <c r="A138" s="22" t="s">
        <v>229</v>
      </c>
      <c r="B138" s="22" t="s">
        <v>11</v>
      </c>
      <c r="C138" s="22" t="s">
        <v>18</v>
      </c>
      <c r="D138" s="22" t="s">
        <v>13</v>
      </c>
      <c r="E138" s="22">
        <v>9901.9300000000094</v>
      </c>
      <c r="F138" s="24">
        <v>19</v>
      </c>
      <c r="G138" s="22">
        <v>0.2</v>
      </c>
      <c r="H138" s="23">
        <v>45528</v>
      </c>
      <c r="I138" s="22">
        <v>15150.11</v>
      </c>
      <c r="J138" s="22" t="str">
        <f>TEXT(Table1[[#This Row],[Order_Date]],"MMM")</f>
        <v>Aug</v>
      </c>
    </row>
    <row r="139" spans="1:10" ht="15.75" customHeight="1" x14ac:dyDescent="0.3">
      <c r="A139" s="22" t="s">
        <v>230</v>
      </c>
      <c r="B139" s="22" t="s">
        <v>15</v>
      </c>
      <c r="C139" s="22" t="s">
        <v>18</v>
      </c>
      <c r="D139" s="22" t="s">
        <v>16</v>
      </c>
      <c r="E139" s="22">
        <v>9967.1200000000099</v>
      </c>
      <c r="F139" s="24">
        <v>5</v>
      </c>
      <c r="G139" s="22">
        <v>0.2</v>
      </c>
      <c r="H139" s="23">
        <v>45529</v>
      </c>
      <c r="I139" s="22">
        <v>15259.07</v>
      </c>
      <c r="J139" s="22" t="str">
        <f>TEXT(Table1[[#This Row],[Order_Date]],"MMM")</f>
        <v>Aug</v>
      </c>
    </row>
    <row r="140" spans="1:10" ht="15.75" customHeight="1" x14ac:dyDescent="0.3">
      <c r="A140" s="22" t="s">
        <v>231</v>
      </c>
      <c r="B140" s="22" t="s">
        <v>11</v>
      </c>
      <c r="C140" s="22" t="s">
        <v>18</v>
      </c>
      <c r="D140" s="22" t="s">
        <v>13</v>
      </c>
      <c r="E140" s="22">
        <v>10032.31</v>
      </c>
      <c r="F140" s="24">
        <v>8</v>
      </c>
      <c r="G140" s="22">
        <v>0.2</v>
      </c>
      <c r="H140" s="23">
        <v>45530</v>
      </c>
      <c r="I140" s="22">
        <v>15368.03</v>
      </c>
      <c r="J140" s="22" t="str">
        <f>TEXT(Table1[[#This Row],[Order_Date]],"MMM")</f>
        <v>Aug</v>
      </c>
    </row>
    <row r="141" spans="1:10" ht="15.75" customHeight="1" x14ac:dyDescent="0.3">
      <c r="A141" s="22" t="s">
        <v>232</v>
      </c>
      <c r="B141" s="22" t="s">
        <v>15</v>
      </c>
      <c r="C141" s="22" t="s">
        <v>18</v>
      </c>
      <c r="D141" s="22" t="s">
        <v>16</v>
      </c>
      <c r="E141" s="22">
        <v>10097.5</v>
      </c>
      <c r="F141" s="24">
        <v>8</v>
      </c>
      <c r="G141" s="22">
        <v>0.2</v>
      </c>
      <c r="H141" s="23">
        <v>45531</v>
      </c>
      <c r="I141" s="22">
        <v>15476.99</v>
      </c>
      <c r="J141" s="22" t="str">
        <f>TEXT(Table1[[#This Row],[Order_Date]],"MMM")</f>
        <v>Aug</v>
      </c>
    </row>
    <row r="142" spans="1:10" ht="15.75" customHeight="1" x14ac:dyDescent="0.3">
      <c r="A142" s="22" t="s">
        <v>233</v>
      </c>
      <c r="B142" s="22" t="s">
        <v>11</v>
      </c>
      <c r="C142" s="22" t="s">
        <v>18</v>
      </c>
      <c r="D142" s="22" t="s">
        <v>13</v>
      </c>
      <c r="E142" s="22">
        <v>10162.69</v>
      </c>
      <c r="F142" s="24">
        <v>1</v>
      </c>
      <c r="G142" s="22">
        <v>0.2</v>
      </c>
      <c r="H142" s="23">
        <v>45532</v>
      </c>
      <c r="I142" s="22">
        <v>15585.95</v>
      </c>
      <c r="J142" s="22" t="str">
        <f>TEXT(Table1[[#This Row],[Order_Date]],"MMM")</f>
        <v>Aug</v>
      </c>
    </row>
    <row r="143" spans="1:10" ht="15.75" customHeight="1" x14ac:dyDescent="0.3">
      <c r="A143" s="22" t="s">
        <v>234</v>
      </c>
      <c r="B143" s="22" t="s">
        <v>15</v>
      </c>
      <c r="C143" s="22" t="s">
        <v>18</v>
      </c>
      <c r="D143" s="22" t="s">
        <v>16</v>
      </c>
      <c r="E143" s="22">
        <v>10227.879999999999</v>
      </c>
      <c r="F143" s="24">
        <v>19</v>
      </c>
      <c r="G143" s="22">
        <v>0.2</v>
      </c>
      <c r="H143" s="23">
        <v>45533</v>
      </c>
      <c r="I143" s="22">
        <v>15694.91</v>
      </c>
      <c r="J143" s="22" t="str">
        <f>TEXT(Table1[[#This Row],[Order_Date]],"MMM")</f>
        <v>Aug</v>
      </c>
    </row>
    <row r="144" spans="1:10" ht="15.75" customHeight="1" x14ac:dyDescent="0.3">
      <c r="A144" s="22" t="s">
        <v>235</v>
      </c>
      <c r="B144" s="22" t="s">
        <v>11</v>
      </c>
      <c r="C144" s="22" t="s">
        <v>18</v>
      </c>
      <c r="D144" s="22" t="s">
        <v>13</v>
      </c>
      <c r="E144" s="22">
        <v>10293.07</v>
      </c>
      <c r="F144" s="24">
        <v>3</v>
      </c>
      <c r="G144" s="22">
        <v>0.2</v>
      </c>
      <c r="H144" s="23">
        <v>45534</v>
      </c>
      <c r="I144" s="22">
        <v>15803.87</v>
      </c>
      <c r="J144" s="22" t="str">
        <f>TEXT(Table1[[#This Row],[Order_Date]],"MMM")</f>
        <v>Aug</v>
      </c>
    </row>
    <row r="145" spans="1:10" ht="15.75" customHeight="1" x14ac:dyDescent="0.3">
      <c r="A145" s="22" t="s">
        <v>236</v>
      </c>
      <c r="B145" s="22" t="s">
        <v>15</v>
      </c>
      <c r="C145" s="22" t="s">
        <v>18</v>
      </c>
      <c r="D145" s="22" t="s">
        <v>16</v>
      </c>
      <c r="E145" s="22">
        <v>10358.26</v>
      </c>
      <c r="F145" s="24">
        <v>4</v>
      </c>
      <c r="G145" s="22">
        <v>0.2</v>
      </c>
      <c r="H145" s="23">
        <v>45535</v>
      </c>
      <c r="I145" s="22">
        <v>15912.83</v>
      </c>
      <c r="J145" s="22" t="str">
        <f>TEXT(Table1[[#This Row],[Order_Date]],"MMM")</f>
        <v>Aug</v>
      </c>
    </row>
    <row r="146" spans="1:10" ht="15.75" customHeight="1" x14ac:dyDescent="0.3">
      <c r="A146" s="22" t="s">
        <v>237</v>
      </c>
      <c r="B146" s="22" t="s">
        <v>11</v>
      </c>
      <c r="C146" s="22" t="s">
        <v>18</v>
      </c>
      <c r="D146" s="22" t="s">
        <v>13</v>
      </c>
      <c r="E146" s="22">
        <v>10423.450000000001</v>
      </c>
      <c r="F146" s="24">
        <v>8</v>
      </c>
      <c r="G146" s="22">
        <v>0.2</v>
      </c>
      <c r="H146" s="23">
        <v>45536</v>
      </c>
      <c r="I146" s="22">
        <v>16021.79</v>
      </c>
      <c r="J146" s="22" t="str">
        <f>TEXT(Table1[[#This Row],[Order_Date]],"MMM")</f>
        <v>Sep</v>
      </c>
    </row>
    <row r="147" spans="1:10" ht="15.75" customHeight="1" x14ac:dyDescent="0.3">
      <c r="A147" s="22" t="s">
        <v>238</v>
      </c>
      <c r="B147" s="22" t="s">
        <v>15</v>
      </c>
      <c r="C147" s="22" t="s">
        <v>18</v>
      </c>
      <c r="D147" s="22" t="s">
        <v>16</v>
      </c>
      <c r="E147" s="22">
        <v>10488.64</v>
      </c>
      <c r="F147" s="24">
        <v>19</v>
      </c>
      <c r="G147" s="22">
        <v>0.2</v>
      </c>
      <c r="H147" s="23">
        <v>45537</v>
      </c>
      <c r="I147" s="22">
        <v>16130.75</v>
      </c>
      <c r="J147" s="22" t="str">
        <f>TEXT(Table1[[#This Row],[Order_Date]],"MMM")</f>
        <v>Sep</v>
      </c>
    </row>
    <row r="148" spans="1:10" ht="15.75" customHeight="1" x14ac:dyDescent="0.3">
      <c r="A148" s="22" t="s">
        <v>239</v>
      </c>
      <c r="B148" s="22" t="s">
        <v>11</v>
      </c>
      <c r="C148" s="22" t="s">
        <v>302</v>
      </c>
      <c r="D148" s="22" t="s">
        <v>13</v>
      </c>
      <c r="E148" s="22">
        <v>10553.83</v>
      </c>
      <c r="F148" s="24">
        <v>16</v>
      </c>
      <c r="G148" s="22">
        <v>0.2</v>
      </c>
      <c r="H148" s="23">
        <v>45538</v>
      </c>
      <c r="I148" s="22">
        <v>16239.71</v>
      </c>
      <c r="J148" s="22" t="str">
        <f>TEXT(Table1[[#This Row],[Order_Date]],"MMM")</f>
        <v>Sep</v>
      </c>
    </row>
    <row r="149" spans="1:10" ht="15.75" customHeight="1" x14ac:dyDescent="0.3">
      <c r="A149" s="22" t="s">
        <v>240</v>
      </c>
      <c r="B149" s="22" t="s">
        <v>15</v>
      </c>
      <c r="C149" s="22" t="s">
        <v>302</v>
      </c>
      <c r="D149" s="22" t="s">
        <v>16</v>
      </c>
      <c r="E149" s="22">
        <v>10619.02</v>
      </c>
      <c r="F149" s="24">
        <v>10</v>
      </c>
      <c r="G149" s="22">
        <v>0.2</v>
      </c>
      <c r="H149" s="23">
        <v>45539</v>
      </c>
      <c r="I149" s="22">
        <v>16348.67</v>
      </c>
      <c r="J149" s="22" t="str">
        <f>TEXT(Table1[[#This Row],[Order_Date]],"MMM")</f>
        <v>Sep</v>
      </c>
    </row>
    <row r="150" spans="1:10" ht="15.75" customHeight="1" x14ac:dyDescent="0.3">
      <c r="A150" s="22" t="s">
        <v>241</v>
      </c>
      <c r="B150" s="22" t="s">
        <v>11</v>
      </c>
      <c r="C150" s="22" t="s">
        <v>302</v>
      </c>
      <c r="D150" s="22" t="s">
        <v>13</v>
      </c>
      <c r="E150" s="22">
        <v>10684.21</v>
      </c>
      <c r="F150" s="24">
        <v>9</v>
      </c>
      <c r="G150" s="22">
        <v>0.2</v>
      </c>
      <c r="H150" s="23">
        <v>45540</v>
      </c>
      <c r="I150" s="22">
        <v>16457.63</v>
      </c>
      <c r="J150" s="22" t="str">
        <f>TEXT(Table1[[#This Row],[Order_Date]],"MMM")</f>
        <v>Sep</v>
      </c>
    </row>
    <row r="151" spans="1:10" ht="15.75" customHeight="1" x14ac:dyDescent="0.3">
      <c r="A151" s="22" t="s">
        <v>242</v>
      </c>
      <c r="B151" s="22" t="s">
        <v>15</v>
      </c>
      <c r="C151" s="22" t="s">
        <v>302</v>
      </c>
      <c r="D151" s="22" t="s">
        <v>16</v>
      </c>
      <c r="E151" s="22">
        <v>10749.4</v>
      </c>
      <c r="F151" s="24">
        <v>19</v>
      </c>
      <c r="G151" s="22">
        <v>0.2</v>
      </c>
      <c r="H151" s="23">
        <v>45541</v>
      </c>
      <c r="I151" s="22">
        <v>16566.59</v>
      </c>
      <c r="J151" s="22" t="str">
        <f>TEXT(Table1[[#This Row],[Order_Date]],"MMM")</f>
        <v>Sep</v>
      </c>
    </row>
    <row r="152" spans="1:10" ht="15.75" customHeight="1" x14ac:dyDescent="0.3">
      <c r="A152" s="22" t="s">
        <v>243</v>
      </c>
      <c r="B152" s="22" t="s">
        <v>11</v>
      </c>
      <c r="C152" s="22" t="s">
        <v>302</v>
      </c>
      <c r="D152" s="22" t="s">
        <v>13</v>
      </c>
      <c r="E152" s="22">
        <v>10814.59</v>
      </c>
      <c r="F152" s="24">
        <v>16</v>
      </c>
      <c r="G152" s="22">
        <v>0.2</v>
      </c>
      <c r="H152" s="23">
        <v>45542</v>
      </c>
      <c r="I152" s="22">
        <v>16675.55</v>
      </c>
      <c r="J152" s="22" t="str">
        <f>TEXT(Table1[[#This Row],[Order_Date]],"MMM")</f>
        <v>Sep</v>
      </c>
    </row>
    <row r="153" spans="1:10" ht="15.75" customHeight="1" x14ac:dyDescent="0.3">
      <c r="A153" s="22" t="s">
        <v>244</v>
      </c>
      <c r="B153" s="22" t="s">
        <v>15</v>
      </c>
      <c r="C153" s="22" t="s">
        <v>302</v>
      </c>
      <c r="D153" s="22" t="s">
        <v>16</v>
      </c>
      <c r="E153" s="22">
        <v>10879.78</v>
      </c>
      <c r="F153" s="24">
        <v>6</v>
      </c>
      <c r="G153" s="22">
        <v>0.2</v>
      </c>
      <c r="H153" s="23">
        <v>45543</v>
      </c>
      <c r="I153" s="22">
        <v>16784.509999999998</v>
      </c>
      <c r="J153" s="22" t="str">
        <f>TEXT(Table1[[#This Row],[Order_Date]],"MMM")</f>
        <v>Sep</v>
      </c>
    </row>
    <row r="154" spans="1:10" ht="15.75" customHeight="1" x14ac:dyDescent="0.3">
      <c r="A154" s="22" t="s">
        <v>245</v>
      </c>
      <c r="B154" s="22" t="s">
        <v>11</v>
      </c>
      <c r="C154" s="22" t="s">
        <v>302</v>
      </c>
      <c r="D154" s="22" t="s">
        <v>13</v>
      </c>
      <c r="E154" s="22">
        <v>10944.97</v>
      </c>
      <c r="F154" s="24">
        <v>13</v>
      </c>
      <c r="G154" s="22">
        <v>0.2</v>
      </c>
      <c r="H154" s="23">
        <v>45544</v>
      </c>
      <c r="I154" s="22">
        <v>16893.47</v>
      </c>
      <c r="J154" s="22" t="str">
        <f>TEXT(Table1[[#This Row],[Order_Date]],"MMM")</f>
        <v>Sep</v>
      </c>
    </row>
    <row r="155" spans="1:10" ht="15.75" customHeight="1" x14ac:dyDescent="0.3">
      <c r="A155" s="22" t="s">
        <v>246</v>
      </c>
      <c r="B155" s="22" t="s">
        <v>15</v>
      </c>
      <c r="C155" s="22" t="s">
        <v>302</v>
      </c>
      <c r="D155" s="22" t="s">
        <v>16</v>
      </c>
      <c r="E155" s="22">
        <v>11010.16</v>
      </c>
      <c r="F155" s="24">
        <v>14</v>
      </c>
      <c r="G155" s="22">
        <v>0.2</v>
      </c>
      <c r="H155" s="23">
        <v>45545</v>
      </c>
      <c r="I155" s="22">
        <v>17002.43</v>
      </c>
      <c r="J155" s="22" t="str">
        <f>TEXT(Table1[[#This Row],[Order_Date]],"MMM")</f>
        <v>Sep</v>
      </c>
    </row>
    <row r="156" spans="1:10" ht="15.75" customHeight="1" x14ac:dyDescent="0.3">
      <c r="A156" s="22" t="s">
        <v>247</v>
      </c>
      <c r="B156" s="22" t="s">
        <v>11</v>
      </c>
      <c r="C156" s="22" t="s">
        <v>302</v>
      </c>
      <c r="D156" s="22" t="s">
        <v>13</v>
      </c>
      <c r="E156" s="22">
        <v>11075.35</v>
      </c>
      <c r="F156" s="24">
        <v>11</v>
      </c>
      <c r="G156" s="22">
        <v>0.2</v>
      </c>
      <c r="H156" s="23">
        <v>45546</v>
      </c>
      <c r="I156" s="22">
        <v>17111.39</v>
      </c>
      <c r="J156" s="22" t="str">
        <f>TEXT(Table1[[#This Row],[Order_Date]],"MMM")</f>
        <v>Sep</v>
      </c>
    </row>
    <row r="157" spans="1:10" ht="15.75" customHeight="1" x14ac:dyDescent="0.3">
      <c r="A157" s="22" t="s">
        <v>248</v>
      </c>
      <c r="B157" s="22" t="s">
        <v>15</v>
      </c>
      <c r="C157" s="22" t="s">
        <v>302</v>
      </c>
      <c r="D157" s="22" t="s">
        <v>16</v>
      </c>
      <c r="E157" s="22">
        <v>11140.54</v>
      </c>
      <c r="F157" s="24">
        <v>1</v>
      </c>
      <c r="G157" s="22">
        <v>0.2</v>
      </c>
      <c r="H157" s="23">
        <v>45547</v>
      </c>
      <c r="I157" s="22">
        <v>17220.349999999999</v>
      </c>
      <c r="J157" s="22" t="str">
        <f>TEXT(Table1[[#This Row],[Order_Date]],"MMM")</f>
        <v>Sep</v>
      </c>
    </row>
    <row r="158" spans="1:10" ht="15.75" customHeight="1" x14ac:dyDescent="0.3">
      <c r="A158" s="22" t="s">
        <v>249</v>
      </c>
      <c r="B158" s="22" t="s">
        <v>11</v>
      </c>
      <c r="C158" s="22" t="s">
        <v>302</v>
      </c>
      <c r="D158" s="22" t="s">
        <v>13</v>
      </c>
      <c r="E158" s="22">
        <v>11205.73</v>
      </c>
      <c r="F158" s="24">
        <v>18</v>
      </c>
      <c r="G158" s="22">
        <v>0.2</v>
      </c>
      <c r="H158" s="23">
        <v>45548</v>
      </c>
      <c r="I158" s="22">
        <v>17329.310000000001</v>
      </c>
      <c r="J158" s="22" t="str">
        <f>TEXT(Table1[[#This Row],[Order_Date]],"MMM")</f>
        <v>Sep</v>
      </c>
    </row>
    <row r="159" spans="1:10" ht="15.75" customHeight="1" x14ac:dyDescent="0.3">
      <c r="A159" s="22" t="s">
        <v>250</v>
      </c>
      <c r="B159" s="22" t="s">
        <v>15</v>
      </c>
      <c r="C159" s="22" t="s">
        <v>302</v>
      </c>
      <c r="D159" s="22" t="s">
        <v>16</v>
      </c>
      <c r="E159" s="22">
        <v>11270.92</v>
      </c>
      <c r="F159" s="24">
        <v>10</v>
      </c>
      <c r="G159" s="22">
        <v>0.2</v>
      </c>
      <c r="H159" s="23">
        <v>45549</v>
      </c>
      <c r="I159" s="22">
        <v>17438.27</v>
      </c>
      <c r="J159" s="22" t="str">
        <f>TEXT(Table1[[#This Row],[Order_Date]],"MMM")</f>
        <v>Sep</v>
      </c>
    </row>
    <row r="160" spans="1:10" ht="15.75" customHeight="1" x14ac:dyDescent="0.3">
      <c r="A160" s="22" t="s">
        <v>251</v>
      </c>
      <c r="B160" s="22" t="s">
        <v>11</v>
      </c>
      <c r="C160" s="22" t="s">
        <v>302</v>
      </c>
      <c r="D160" s="22" t="s">
        <v>13</v>
      </c>
      <c r="E160" s="22">
        <v>11336.11</v>
      </c>
      <c r="F160" s="24">
        <v>5</v>
      </c>
      <c r="G160" s="22">
        <v>0.2</v>
      </c>
      <c r="H160" s="23">
        <v>45550</v>
      </c>
      <c r="I160" s="22">
        <v>17547.23</v>
      </c>
      <c r="J160" s="22" t="str">
        <f>TEXT(Table1[[#This Row],[Order_Date]],"MMM")</f>
        <v>Sep</v>
      </c>
    </row>
    <row r="161" spans="1:10" ht="15.75" customHeight="1" x14ac:dyDescent="0.3">
      <c r="A161" s="22" t="s">
        <v>252</v>
      </c>
      <c r="B161" s="22" t="s">
        <v>15</v>
      </c>
      <c r="C161" s="22" t="s">
        <v>302</v>
      </c>
      <c r="D161" s="22" t="s">
        <v>16</v>
      </c>
      <c r="E161" s="22">
        <v>11401.3</v>
      </c>
      <c r="F161" s="24">
        <v>18</v>
      </c>
      <c r="G161" s="22">
        <v>0.2</v>
      </c>
      <c r="H161" s="23">
        <v>45551</v>
      </c>
      <c r="I161" s="22">
        <v>17656.189999999999</v>
      </c>
      <c r="J161" s="22" t="str">
        <f>TEXT(Table1[[#This Row],[Order_Date]],"MMM")</f>
        <v>Sep</v>
      </c>
    </row>
    <row r="162" spans="1:10" ht="15.75" customHeight="1" x14ac:dyDescent="0.3">
      <c r="A162" s="22" t="s">
        <v>253</v>
      </c>
      <c r="B162" s="22" t="s">
        <v>11</v>
      </c>
      <c r="C162" s="22" t="s">
        <v>302</v>
      </c>
      <c r="D162" s="22" t="s">
        <v>13</v>
      </c>
      <c r="E162" s="22">
        <v>11466.49</v>
      </c>
      <c r="F162" s="24">
        <v>19</v>
      </c>
      <c r="G162" s="22">
        <v>0.2</v>
      </c>
      <c r="H162" s="23">
        <v>45552</v>
      </c>
      <c r="I162" s="22">
        <v>17765.150000000001</v>
      </c>
      <c r="J162" s="22" t="str">
        <f>TEXT(Table1[[#This Row],[Order_Date]],"MMM")</f>
        <v>Sep</v>
      </c>
    </row>
    <row r="163" spans="1:10" ht="15.75" customHeight="1" x14ac:dyDescent="0.3">
      <c r="A163" s="22" t="s">
        <v>254</v>
      </c>
      <c r="B163" s="22" t="s">
        <v>15</v>
      </c>
      <c r="C163" s="22" t="s">
        <v>302</v>
      </c>
      <c r="D163" s="22" t="s">
        <v>16</v>
      </c>
      <c r="E163" s="22">
        <v>11531.68</v>
      </c>
      <c r="F163" s="24">
        <v>11</v>
      </c>
      <c r="G163" s="22">
        <v>0.2</v>
      </c>
      <c r="H163" s="23">
        <v>45553</v>
      </c>
      <c r="I163" s="22">
        <v>17874.11</v>
      </c>
      <c r="J163" s="22" t="str">
        <f>TEXT(Table1[[#This Row],[Order_Date]],"MMM")</f>
        <v>Sep</v>
      </c>
    </row>
    <row r="164" spans="1:10" ht="15.75" customHeight="1" x14ac:dyDescent="0.3">
      <c r="A164" s="22" t="s">
        <v>255</v>
      </c>
      <c r="B164" s="22" t="s">
        <v>11</v>
      </c>
      <c r="C164" s="22" t="s">
        <v>302</v>
      </c>
      <c r="D164" s="22" t="s">
        <v>13</v>
      </c>
      <c r="E164" s="22">
        <v>11596.87</v>
      </c>
      <c r="F164" s="24">
        <v>5</v>
      </c>
      <c r="G164" s="22">
        <v>0.2</v>
      </c>
      <c r="H164" s="23">
        <v>45554</v>
      </c>
      <c r="I164" s="22">
        <v>17983.07</v>
      </c>
      <c r="J164" s="22" t="str">
        <f>TEXT(Table1[[#This Row],[Order_Date]],"MMM")</f>
        <v>Sep</v>
      </c>
    </row>
    <row r="165" spans="1:10" ht="15.75" customHeight="1" x14ac:dyDescent="0.3">
      <c r="A165" s="22" t="s">
        <v>256</v>
      </c>
      <c r="B165" s="22" t="s">
        <v>15</v>
      </c>
      <c r="C165" s="22" t="s">
        <v>302</v>
      </c>
      <c r="D165" s="22" t="s">
        <v>16</v>
      </c>
      <c r="E165" s="22">
        <v>11662.06</v>
      </c>
      <c r="F165" s="24">
        <v>9</v>
      </c>
      <c r="G165" s="22">
        <v>0.2</v>
      </c>
      <c r="H165" s="23">
        <v>45555</v>
      </c>
      <c r="I165" s="22">
        <v>18092.03</v>
      </c>
      <c r="J165" s="22" t="str">
        <f>TEXT(Table1[[#This Row],[Order_Date]],"MMM")</f>
        <v>Sep</v>
      </c>
    </row>
    <row r="166" spans="1:10" ht="15.75" customHeight="1" x14ac:dyDescent="0.3">
      <c r="A166" s="22" t="s">
        <v>257</v>
      </c>
      <c r="B166" s="22" t="s">
        <v>11</v>
      </c>
      <c r="C166" s="22" t="s">
        <v>12</v>
      </c>
      <c r="D166" s="22" t="s">
        <v>13</v>
      </c>
      <c r="E166" s="22">
        <v>11727.25</v>
      </c>
      <c r="F166" s="24">
        <v>2</v>
      </c>
      <c r="G166" s="22">
        <v>0.2</v>
      </c>
      <c r="H166" s="23">
        <v>45556</v>
      </c>
      <c r="I166" s="22">
        <v>18200.990000000002</v>
      </c>
      <c r="J166" s="22" t="str">
        <f>TEXT(Table1[[#This Row],[Order_Date]],"MMM")</f>
        <v>Sep</v>
      </c>
    </row>
    <row r="167" spans="1:10" ht="15.75" customHeight="1" x14ac:dyDescent="0.3">
      <c r="A167" s="22" t="s">
        <v>258</v>
      </c>
      <c r="B167" s="22" t="s">
        <v>15</v>
      </c>
      <c r="C167" s="22" t="s">
        <v>12</v>
      </c>
      <c r="D167" s="22" t="s">
        <v>16</v>
      </c>
      <c r="E167" s="22">
        <v>11792.44</v>
      </c>
      <c r="F167" s="24">
        <v>7</v>
      </c>
      <c r="G167" s="22">
        <v>0.2</v>
      </c>
      <c r="H167" s="23">
        <v>45557</v>
      </c>
      <c r="I167" s="22">
        <v>18309.95</v>
      </c>
      <c r="J167" s="22" t="str">
        <f>TEXT(Table1[[#This Row],[Order_Date]],"MMM")</f>
        <v>Sep</v>
      </c>
    </row>
    <row r="168" spans="1:10" ht="15.75" customHeight="1" x14ac:dyDescent="0.3">
      <c r="A168" s="22" t="s">
        <v>259</v>
      </c>
      <c r="B168" s="22" t="s">
        <v>11</v>
      </c>
      <c r="C168" s="22" t="s">
        <v>12</v>
      </c>
      <c r="D168" s="22" t="s">
        <v>13</v>
      </c>
      <c r="E168" s="22">
        <v>11857.63</v>
      </c>
      <c r="F168" s="24">
        <v>6</v>
      </c>
      <c r="G168" s="22">
        <v>0.2</v>
      </c>
      <c r="H168" s="23">
        <v>45558</v>
      </c>
      <c r="I168" s="22">
        <v>18418.91</v>
      </c>
      <c r="J168" s="22" t="str">
        <f>TEXT(Table1[[#This Row],[Order_Date]],"MMM")</f>
        <v>Sep</v>
      </c>
    </row>
    <row r="169" spans="1:10" ht="15.75" customHeight="1" x14ac:dyDescent="0.3">
      <c r="A169" s="22" t="s">
        <v>260</v>
      </c>
      <c r="B169" s="22" t="s">
        <v>15</v>
      </c>
      <c r="C169" s="22" t="s">
        <v>12</v>
      </c>
      <c r="D169" s="22" t="s">
        <v>16</v>
      </c>
      <c r="E169" s="22">
        <v>11922.82</v>
      </c>
      <c r="F169" s="24">
        <v>12</v>
      </c>
      <c r="G169" s="22">
        <v>0.2</v>
      </c>
      <c r="H169" s="23">
        <v>45559</v>
      </c>
      <c r="I169" s="22">
        <v>18527.87</v>
      </c>
      <c r="J169" s="22" t="str">
        <f>TEXT(Table1[[#This Row],[Order_Date]],"MMM")</f>
        <v>Sep</v>
      </c>
    </row>
    <row r="170" spans="1:10" ht="15.75" customHeight="1" x14ac:dyDescent="0.3">
      <c r="A170" s="22" t="s">
        <v>261</v>
      </c>
      <c r="B170" s="22" t="s">
        <v>11</v>
      </c>
      <c r="C170" s="22" t="s">
        <v>12</v>
      </c>
      <c r="D170" s="22" t="s">
        <v>13</v>
      </c>
      <c r="E170" s="22">
        <v>11988.01</v>
      </c>
      <c r="F170" s="24">
        <v>11</v>
      </c>
      <c r="G170" s="22">
        <v>0.2</v>
      </c>
      <c r="H170" s="23">
        <v>45560</v>
      </c>
      <c r="I170" s="22">
        <v>18636.830000000002</v>
      </c>
      <c r="J170" s="22" t="str">
        <f>TEXT(Table1[[#This Row],[Order_Date]],"MMM")</f>
        <v>Sep</v>
      </c>
    </row>
    <row r="171" spans="1:10" ht="15.75" customHeight="1" x14ac:dyDescent="0.3">
      <c r="A171" s="22" t="s">
        <v>262</v>
      </c>
      <c r="B171" s="22" t="s">
        <v>15</v>
      </c>
      <c r="C171" s="22" t="s">
        <v>12</v>
      </c>
      <c r="D171" s="22" t="s">
        <v>16</v>
      </c>
      <c r="E171" s="22">
        <v>12053.2</v>
      </c>
      <c r="F171" s="24">
        <v>17</v>
      </c>
      <c r="G171" s="22">
        <v>0.2</v>
      </c>
      <c r="H171" s="23">
        <v>45561</v>
      </c>
      <c r="I171" s="22">
        <v>18745.79</v>
      </c>
      <c r="J171" s="22" t="str">
        <f>TEXT(Table1[[#This Row],[Order_Date]],"MMM")</f>
        <v>Sep</v>
      </c>
    </row>
    <row r="172" spans="1:10" ht="15.75" customHeight="1" x14ac:dyDescent="0.3">
      <c r="A172" s="22" t="s">
        <v>263</v>
      </c>
      <c r="B172" s="22" t="s">
        <v>11</v>
      </c>
      <c r="C172" s="22" t="s">
        <v>12</v>
      </c>
      <c r="D172" s="22" t="s">
        <v>13</v>
      </c>
      <c r="E172" s="22">
        <v>12118.39</v>
      </c>
      <c r="F172" s="24">
        <v>5</v>
      </c>
      <c r="G172" s="22">
        <v>0.2</v>
      </c>
      <c r="H172" s="23">
        <v>45562</v>
      </c>
      <c r="I172" s="22">
        <v>18854.75</v>
      </c>
      <c r="J172" s="22" t="str">
        <f>TEXT(Table1[[#This Row],[Order_Date]],"MMM")</f>
        <v>Sep</v>
      </c>
    </row>
    <row r="173" spans="1:10" ht="15.75" customHeight="1" x14ac:dyDescent="0.3">
      <c r="A173" s="22" t="s">
        <v>264</v>
      </c>
      <c r="B173" s="22" t="s">
        <v>15</v>
      </c>
      <c r="C173" s="22" t="s">
        <v>12</v>
      </c>
      <c r="D173" s="22" t="s">
        <v>16</v>
      </c>
      <c r="E173" s="22">
        <v>12183.58</v>
      </c>
      <c r="F173" s="24">
        <v>9</v>
      </c>
      <c r="G173" s="22">
        <v>0.2</v>
      </c>
      <c r="H173" s="23">
        <v>45563</v>
      </c>
      <c r="I173" s="22">
        <v>18963.71</v>
      </c>
      <c r="J173" s="22" t="str">
        <f>TEXT(Table1[[#This Row],[Order_Date]],"MMM")</f>
        <v>Sep</v>
      </c>
    </row>
    <row r="174" spans="1:10" ht="15.75" customHeight="1" x14ac:dyDescent="0.3">
      <c r="A174" s="22" t="s">
        <v>265</v>
      </c>
      <c r="B174" s="22" t="s">
        <v>11</v>
      </c>
      <c r="C174" s="22" t="s">
        <v>12</v>
      </c>
      <c r="D174" s="22" t="s">
        <v>13</v>
      </c>
      <c r="E174" s="22">
        <v>12248.77</v>
      </c>
      <c r="F174" s="24">
        <v>7</v>
      </c>
      <c r="G174" s="22">
        <v>0.2</v>
      </c>
      <c r="H174" s="23">
        <v>45564</v>
      </c>
      <c r="I174" s="22">
        <v>19072.669999999998</v>
      </c>
      <c r="J174" s="22" t="str">
        <f>TEXT(Table1[[#This Row],[Order_Date]],"MMM")</f>
        <v>Sep</v>
      </c>
    </row>
    <row r="175" spans="1:10" ht="15.75" customHeight="1" x14ac:dyDescent="0.3">
      <c r="A175" s="22" t="s">
        <v>266</v>
      </c>
      <c r="B175" s="22" t="s">
        <v>15</v>
      </c>
      <c r="C175" s="22" t="s">
        <v>12</v>
      </c>
      <c r="D175" s="22" t="s">
        <v>16</v>
      </c>
      <c r="E175" s="22">
        <v>12313.96</v>
      </c>
      <c r="F175" s="24">
        <v>16</v>
      </c>
      <c r="G175" s="22">
        <v>0.2</v>
      </c>
      <c r="H175" s="23">
        <v>45565</v>
      </c>
      <c r="I175" s="22">
        <v>19181.63</v>
      </c>
      <c r="J175" s="22" t="str">
        <f>TEXT(Table1[[#This Row],[Order_Date]],"MMM")</f>
        <v>Sep</v>
      </c>
    </row>
    <row r="176" spans="1:10" ht="15.75" customHeight="1" x14ac:dyDescent="0.3">
      <c r="A176" s="22" t="s">
        <v>267</v>
      </c>
      <c r="B176" s="22" t="s">
        <v>11</v>
      </c>
      <c r="C176" s="22" t="s">
        <v>12</v>
      </c>
      <c r="D176" s="22" t="s">
        <v>13</v>
      </c>
      <c r="E176" s="22">
        <v>12379.15</v>
      </c>
      <c r="F176" s="24">
        <v>6</v>
      </c>
      <c r="G176" s="22">
        <v>0.2</v>
      </c>
      <c r="H176" s="23">
        <v>45566</v>
      </c>
      <c r="I176" s="22">
        <v>19290.59</v>
      </c>
      <c r="J176" s="22" t="str">
        <f>TEXT(Table1[[#This Row],[Order_Date]],"MMM")</f>
        <v>Oct</v>
      </c>
    </row>
    <row r="177" spans="1:10" ht="15.75" customHeight="1" x14ac:dyDescent="0.3">
      <c r="A177" s="22" t="s">
        <v>268</v>
      </c>
      <c r="B177" s="22" t="s">
        <v>15</v>
      </c>
      <c r="C177" s="22" t="s">
        <v>12</v>
      </c>
      <c r="D177" s="22" t="s">
        <v>16</v>
      </c>
      <c r="E177" s="22">
        <v>12444.34</v>
      </c>
      <c r="F177" s="24">
        <v>19</v>
      </c>
      <c r="G177" s="22">
        <v>0.2</v>
      </c>
      <c r="H177" s="23">
        <v>45567</v>
      </c>
      <c r="I177" s="22">
        <v>19399.55</v>
      </c>
      <c r="J177" s="22" t="str">
        <f>TEXT(Table1[[#This Row],[Order_Date]],"MMM")</f>
        <v>Oct</v>
      </c>
    </row>
    <row r="178" spans="1:10" ht="15.75" customHeight="1" x14ac:dyDescent="0.3">
      <c r="A178" s="22" t="s">
        <v>269</v>
      </c>
      <c r="B178" s="22" t="s">
        <v>11</v>
      </c>
      <c r="C178" s="22" t="s">
        <v>12</v>
      </c>
      <c r="D178" s="22" t="s">
        <v>13</v>
      </c>
      <c r="E178" s="22">
        <v>12509.53</v>
      </c>
      <c r="F178" s="24">
        <v>14</v>
      </c>
      <c r="G178" s="22">
        <v>0.2</v>
      </c>
      <c r="H178" s="23">
        <v>45568</v>
      </c>
      <c r="I178" s="22">
        <v>19508.509999999998</v>
      </c>
      <c r="J178" s="22" t="str">
        <f>TEXT(Table1[[#This Row],[Order_Date]],"MMM")</f>
        <v>Oct</v>
      </c>
    </row>
    <row r="179" spans="1:10" ht="15.75" customHeight="1" x14ac:dyDescent="0.3">
      <c r="A179" s="22" t="s">
        <v>270</v>
      </c>
      <c r="B179" s="22" t="s">
        <v>15</v>
      </c>
      <c r="C179" s="22" t="s">
        <v>12</v>
      </c>
      <c r="D179" s="22" t="s">
        <v>16</v>
      </c>
      <c r="E179" s="22">
        <v>12574.72</v>
      </c>
      <c r="F179" s="24">
        <v>4</v>
      </c>
      <c r="G179" s="22">
        <v>0.2</v>
      </c>
      <c r="H179" s="23">
        <v>45569</v>
      </c>
      <c r="I179" s="22">
        <v>19617.47</v>
      </c>
      <c r="J179" s="22" t="str">
        <f>TEXT(Table1[[#This Row],[Order_Date]],"MMM")</f>
        <v>Oct</v>
      </c>
    </row>
    <row r="180" spans="1:10" ht="15.75" customHeight="1" x14ac:dyDescent="0.3">
      <c r="A180" s="22" t="s">
        <v>271</v>
      </c>
      <c r="B180" s="22" t="s">
        <v>11</v>
      </c>
      <c r="C180" s="22" t="s">
        <v>12</v>
      </c>
      <c r="D180" s="22" t="s">
        <v>13</v>
      </c>
      <c r="E180" s="22">
        <v>12639.91</v>
      </c>
      <c r="F180" s="24">
        <v>3</v>
      </c>
      <c r="G180" s="22">
        <v>0.2</v>
      </c>
      <c r="H180" s="23">
        <v>45570</v>
      </c>
      <c r="I180" s="22">
        <v>19726.43</v>
      </c>
      <c r="J180" s="22" t="str">
        <f>TEXT(Table1[[#This Row],[Order_Date]],"MMM")</f>
        <v>Oct</v>
      </c>
    </row>
    <row r="181" spans="1:10" ht="15.75" customHeight="1" x14ac:dyDescent="0.3">
      <c r="A181" s="22" t="s">
        <v>272</v>
      </c>
      <c r="B181" s="22" t="s">
        <v>15</v>
      </c>
      <c r="C181" s="22" t="s">
        <v>12</v>
      </c>
      <c r="D181" s="22" t="s">
        <v>16</v>
      </c>
      <c r="E181" s="22">
        <v>12705.1</v>
      </c>
      <c r="F181" s="24">
        <v>2</v>
      </c>
      <c r="G181" s="22">
        <v>0.2</v>
      </c>
      <c r="H181" s="23">
        <v>45571</v>
      </c>
      <c r="I181" s="22">
        <v>19835.39</v>
      </c>
      <c r="J181" s="22" t="str">
        <f>TEXT(Table1[[#This Row],[Order_Date]],"MMM")</f>
        <v>Oct</v>
      </c>
    </row>
    <row r="182" spans="1:10" ht="15.75" customHeight="1" x14ac:dyDescent="0.3">
      <c r="A182" s="22" t="s">
        <v>273</v>
      </c>
      <c r="B182" s="22" t="s">
        <v>11</v>
      </c>
      <c r="C182" s="22" t="s">
        <v>12</v>
      </c>
      <c r="D182" s="22" t="s">
        <v>13</v>
      </c>
      <c r="E182" s="22">
        <v>12770.29</v>
      </c>
      <c r="F182" s="24">
        <v>15</v>
      </c>
      <c r="G182" s="22">
        <v>0.2</v>
      </c>
      <c r="H182" s="23">
        <v>45572</v>
      </c>
      <c r="I182" s="22">
        <v>19944.349999999999</v>
      </c>
      <c r="J182" s="22" t="str">
        <f>TEXT(Table1[[#This Row],[Order_Date]],"MMM")</f>
        <v>Oct</v>
      </c>
    </row>
    <row r="183" spans="1:10" ht="15.75" customHeight="1" x14ac:dyDescent="0.3">
      <c r="A183" s="22" t="s">
        <v>274</v>
      </c>
      <c r="B183" s="22" t="s">
        <v>15</v>
      </c>
      <c r="C183" s="22" t="s">
        <v>12</v>
      </c>
      <c r="D183" s="22" t="s">
        <v>16</v>
      </c>
      <c r="E183" s="22">
        <v>12835.48</v>
      </c>
      <c r="F183" s="24">
        <v>12</v>
      </c>
      <c r="G183" s="22">
        <v>0.2</v>
      </c>
      <c r="H183" s="23">
        <v>45573</v>
      </c>
      <c r="I183" s="22">
        <v>20053.310000000001</v>
      </c>
      <c r="J183" s="22" t="str">
        <f>TEXT(Table1[[#This Row],[Order_Date]],"MMM")</f>
        <v>Oct</v>
      </c>
    </row>
    <row r="184" spans="1:10" ht="15.75" customHeight="1" x14ac:dyDescent="0.3">
      <c r="A184" s="22" t="s">
        <v>275</v>
      </c>
      <c r="B184" s="22" t="s">
        <v>11</v>
      </c>
      <c r="C184" s="22" t="s">
        <v>12</v>
      </c>
      <c r="D184" s="22" t="s">
        <v>13</v>
      </c>
      <c r="E184" s="22">
        <v>12900.67</v>
      </c>
      <c r="F184" s="24">
        <v>2</v>
      </c>
      <c r="G184" s="22">
        <v>0.2</v>
      </c>
      <c r="H184" s="23">
        <v>45574</v>
      </c>
      <c r="I184" s="22">
        <v>20162.27</v>
      </c>
      <c r="J184" s="22" t="str">
        <f>TEXT(Table1[[#This Row],[Order_Date]],"MMM")</f>
        <v>Oct</v>
      </c>
    </row>
    <row r="185" spans="1:10" ht="15.75" customHeight="1" x14ac:dyDescent="0.3">
      <c r="A185" s="22" t="s">
        <v>276</v>
      </c>
      <c r="B185" s="22" t="s">
        <v>15</v>
      </c>
      <c r="C185" s="22" t="s">
        <v>12</v>
      </c>
      <c r="D185" s="22" t="s">
        <v>16</v>
      </c>
      <c r="E185" s="22">
        <v>12965.86</v>
      </c>
      <c r="F185" s="24">
        <v>18</v>
      </c>
      <c r="G185" s="22">
        <v>0.2</v>
      </c>
      <c r="H185" s="23">
        <v>45575</v>
      </c>
      <c r="I185" s="22">
        <v>20271.23</v>
      </c>
      <c r="J185" s="22" t="str">
        <f>TEXT(Table1[[#This Row],[Order_Date]],"MMM")</f>
        <v>Oct</v>
      </c>
    </row>
    <row r="186" spans="1:10" ht="15.75" customHeight="1" x14ac:dyDescent="0.3">
      <c r="A186" s="22" t="s">
        <v>277</v>
      </c>
      <c r="B186" s="22" t="s">
        <v>11</v>
      </c>
      <c r="C186" s="22" t="s">
        <v>21</v>
      </c>
      <c r="D186" s="22" t="s">
        <v>13</v>
      </c>
      <c r="E186" s="22">
        <v>13031.05</v>
      </c>
      <c r="F186" s="24">
        <v>8</v>
      </c>
      <c r="G186" s="22">
        <v>0.2</v>
      </c>
      <c r="H186" s="23">
        <v>45576</v>
      </c>
      <c r="I186" s="22">
        <v>20380.189999999999</v>
      </c>
      <c r="J186" s="22" t="str">
        <f>TEXT(Table1[[#This Row],[Order_Date]],"MMM")</f>
        <v>Oct</v>
      </c>
    </row>
    <row r="187" spans="1:10" ht="15.75" customHeight="1" x14ac:dyDescent="0.3">
      <c r="A187" s="22" t="s">
        <v>278</v>
      </c>
      <c r="B187" s="22" t="s">
        <v>15</v>
      </c>
      <c r="C187" s="22" t="s">
        <v>21</v>
      </c>
      <c r="D187" s="22" t="s">
        <v>16</v>
      </c>
      <c r="E187" s="22">
        <v>13096.24</v>
      </c>
      <c r="F187" s="24">
        <v>6</v>
      </c>
      <c r="G187" s="22">
        <v>0.2</v>
      </c>
      <c r="H187" s="23">
        <v>45577</v>
      </c>
      <c r="I187" s="22">
        <v>20489.150000000001</v>
      </c>
      <c r="J187" s="22" t="str">
        <f>TEXT(Table1[[#This Row],[Order_Date]],"MMM")</f>
        <v>Oct</v>
      </c>
    </row>
    <row r="188" spans="1:10" ht="15.75" customHeight="1" x14ac:dyDescent="0.3">
      <c r="A188" s="22" t="s">
        <v>279</v>
      </c>
      <c r="B188" s="22" t="s">
        <v>11</v>
      </c>
      <c r="C188" s="22" t="s">
        <v>21</v>
      </c>
      <c r="D188" s="22" t="s">
        <v>13</v>
      </c>
      <c r="E188" s="22">
        <v>13161.43</v>
      </c>
      <c r="F188" s="24">
        <v>8</v>
      </c>
      <c r="G188" s="22">
        <v>0.2</v>
      </c>
      <c r="H188" s="23">
        <v>45578</v>
      </c>
      <c r="I188" s="22">
        <v>20598.11</v>
      </c>
      <c r="J188" s="22" t="str">
        <f>TEXT(Table1[[#This Row],[Order_Date]],"MMM")</f>
        <v>Oct</v>
      </c>
    </row>
    <row r="189" spans="1:10" ht="15.75" customHeight="1" x14ac:dyDescent="0.3">
      <c r="A189" s="22" t="s">
        <v>280</v>
      </c>
      <c r="B189" s="22" t="s">
        <v>15</v>
      </c>
      <c r="C189" s="22" t="s">
        <v>21</v>
      </c>
      <c r="D189" s="22" t="s">
        <v>16</v>
      </c>
      <c r="E189" s="22">
        <v>13226.62</v>
      </c>
      <c r="F189" s="24">
        <v>15</v>
      </c>
      <c r="G189" s="22">
        <v>0.2</v>
      </c>
      <c r="H189" s="23">
        <v>45579</v>
      </c>
      <c r="I189" s="22">
        <v>20707.07</v>
      </c>
      <c r="J189" s="22" t="str">
        <f>TEXT(Table1[[#This Row],[Order_Date]],"MMM")</f>
        <v>Oct</v>
      </c>
    </row>
    <row r="190" spans="1:10" ht="15.75" customHeight="1" x14ac:dyDescent="0.3">
      <c r="A190" s="22" t="s">
        <v>281</v>
      </c>
      <c r="B190" s="22" t="s">
        <v>11</v>
      </c>
      <c r="C190" s="22" t="s">
        <v>21</v>
      </c>
      <c r="D190" s="22" t="s">
        <v>13</v>
      </c>
      <c r="E190" s="22">
        <v>13291.81</v>
      </c>
      <c r="F190" s="24">
        <v>18</v>
      </c>
      <c r="G190" s="22">
        <v>0.2</v>
      </c>
      <c r="H190" s="23">
        <v>45580</v>
      </c>
      <c r="I190" s="22">
        <v>20816.03</v>
      </c>
      <c r="J190" s="22" t="str">
        <f>TEXT(Table1[[#This Row],[Order_Date]],"MMM")</f>
        <v>Oct</v>
      </c>
    </row>
    <row r="191" spans="1:10" ht="15.75" customHeight="1" x14ac:dyDescent="0.3">
      <c r="A191" s="22" t="s">
        <v>282</v>
      </c>
      <c r="B191" s="22" t="s">
        <v>15</v>
      </c>
      <c r="C191" s="22" t="s">
        <v>21</v>
      </c>
      <c r="D191" s="22" t="s">
        <v>16</v>
      </c>
      <c r="E191" s="22">
        <v>13357</v>
      </c>
      <c r="F191" s="24">
        <v>18</v>
      </c>
      <c r="G191" s="22">
        <v>0.2</v>
      </c>
      <c r="H191" s="23">
        <v>45581</v>
      </c>
      <c r="I191" s="22">
        <v>20924.990000000002</v>
      </c>
      <c r="J191" s="22" t="str">
        <f>TEXT(Table1[[#This Row],[Order_Date]],"MMM")</f>
        <v>Oct</v>
      </c>
    </row>
    <row r="192" spans="1:10" ht="15.75" customHeight="1" x14ac:dyDescent="0.3">
      <c r="A192" s="22" t="s">
        <v>283</v>
      </c>
      <c r="B192" s="22" t="s">
        <v>11</v>
      </c>
      <c r="C192" s="22" t="s">
        <v>21</v>
      </c>
      <c r="D192" s="22" t="s">
        <v>13</v>
      </c>
      <c r="E192" s="22">
        <v>13422.19</v>
      </c>
      <c r="F192" s="24">
        <v>2</v>
      </c>
      <c r="G192" s="22">
        <v>0.2</v>
      </c>
      <c r="H192" s="23">
        <v>45582</v>
      </c>
      <c r="I192" s="22">
        <v>21033.95</v>
      </c>
      <c r="J192" s="22" t="str">
        <f>TEXT(Table1[[#This Row],[Order_Date]],"MMM")</f>
        <v>Oct</v>
      </c>
    </row>
    <row r="193" spans="1:10" ht="15.75" customHeight="1" x14ac:dyDescent="0.3">
      <c r="A193" s="22" t="s">
        <v>284</v>
      </c>
      <c r="B193" s="22" t="s">
        <v>15</v>
      </c>
      <c r="C193" s="22" t="s">
        <v>21</v>
      </c>
      <c r="D193" s="22" t="s">
        <v>16</v>
      </c>
      <c r="E193" s="22">
        <v>13487.38</v>
      </c>
      <c r="F193" s="24">
        <v>14</v>
      </c>
      <c r="G193" s="22">
        <v>0.2</v>
      </c>
      <c r="H193" s="23">
        <v>45583</v>
      </c>
      <c r="I193" s="22">
        <v>21142.91</v>
      </c>
      <c r="J193" s="22" t="str">
        <f>TEXT(Table1[[#This Row],[Order_Date]],"MMM")</f>
        <v>Oct</v>
      </c>
    </row>
    <row r="194" spans="1:10" ht="15.75" customHeight="1" x14ac:dyDescent="0.3">
      <c r="A194" s="22" t="s">
        <v>285</v>
      </c>
      <c r="B194" s="22" t="s">
        <v>11</v>
      </c>
      <c r="C194" s="22" t="s">
        <v>21</v>
      </c>
      <c r="D194" s="22" t="s">
        <v>13</v>
      </c>
      <c r="E194" s="22">
        <v>13552.57</v>
      </c>
      <c r="F194" s="24">
        <v>18</v>
      </c>
      <c r="G194" s="22">
        <v>0.2</v>
      </c>
      <c r="H194" s="23">
        <v>45584</v>
      </c>
      <c r="I194" s="22">
        <v>21251.87</v>
      </c>
      <c r="J194" s="22" t="str">
        <f>TEXT(Table1[[#This Row],[Order_Date]],"MMM")</f>
        <v>Oct</v>
      </c>
    </row>
    <row r="195" spans="1:10" ht="15.75" customHeight="1" x14ac:dyDescent="0.3">
      <c r="A195" s="22" t="s">
        <v>286</v>
      </c>
      <c r="B195" s="22" t="s">
        <v>15</v>
      </c>
      <c r="C195" s="22" t="s">
        <v>21</v>
      </c>
      <c r="D195" s="22" t="s">
        <v>16</v>
      </c>
      <c r="E195" s="22">
        <v>13617.76</v>
      </c>
      <c r="F195" s="24">
        <v>9</v>
      </c>
      <c r="G195" s="22">
        <v>0.2</v>
      </c>
      <c r="H195" s="23">
        <v>45585</v>
      </c>
      <c r="I195" s="22">
        <v>21360.83</v>
      </c>
      <c r="J195" s="22" t="str">
        <f>TEXT(Table1[[#This Row],[Order_Date]],"MMM")</f>
        <v>Oct</v>
      </c>
    </row>
    <row r="196" spans="1:10" ht="15.75" customHeight="1" x14ac:dyDescent="0.3">
      <c r="A196" s="22" t="s">
        <v>287</v>
      </c>
      <c r="B196" s="22" t="s">
        <v>11</v>
      </c>
      <c r="C196" s="22" t="s">
        <v>21</v>
      </c>
      <c r="D196" s="22" t="s">
        <v>13</v>
      </c>
      <c r="E196" s="22">
        <v>13682.95</v>
      </c>
      <c r="F196" s="24">
        <v>1</v>
      </c>
      <c r="G196" s="22">
        <v>0.2</v>
      </c>
      <c r="H196" s="23">
        <v>45586</v>
      </c>
      <c r="I196" s="22">
        <v>21469.79</v>
      </c>
      <c r="J196" s="22" t="str">
        <f>TEXT(Table1[[#This Row],[Order_Date]],"MMM")</f>
        <v>Oct</v>
      </c>
    </row>
    <row r="197" spans="1:10" ht="15.75" customHeight="1" x14ac:dyDescent="0.3">
      <c r="A197" s="22" t="s">
        <v>288</v>
      </c>
      <c r="B197" s="22" t="s">
        <v>15</v>
      </c>
      <c r="C197" s="22" t="s">
        <v>21</v>
      </c>
      <c r="D197" s="22" t="s">
        <v>16</v>
      </c>
      <c r="E197" s="22">
        <v>13748.14</v>
      </c>
      <c r="F197" s="24">
        <v>15</v>
      </c>
      <c r="G197" s="22">
        <v>0.2</v>
      </c>
      <c r="H197" s="23">
        <v>45587</v>
      </c>
      <c r="I197" s="22">
        <v>21578.75</v>
      </c>
      <c r="J197" s="22" t="str">
        <f>TEXT(Table1[[#This Row],[Order_Date]],"MMM")</f>
        <v>Oct</v>
      </c>
    </row>
    <row r="198" spans="1:10" ht="15.75" customHeight="1" x14ac:dyDescent="0.3">
      <c r="A198" s="22" t="s">
        <v>289</v>
      </c>
      <c r="B198" s="22" t="s">
        <v>11</v>
      </c>
      <c r="C198" s="22" t="s">
        <v>21</v>
      </c>
      <c r="D198" s="22" t="s">
        <v>13</v>
      </c>
      <c r="E198" s="22">
        <v>13813.33</v>
      </c>
      <c r="F198" s="24">
        <v>11</v>
      </c>
      <c r="G198" s="22">
        <v>0.2</v>
      </c>
      <c r="H198" s="23">
        <v>45588</v>
      </c>
      <c r="I198" s="22">
        <v>21687.71</v>
      </c>
      <c r="J198" s="22" t="str">
        <f>TEXT(Table1[[#This Row],[Order_Date]],"MMM")</f>
        <v>Oct</v>
      </c>
    </row>
    <row r="199" spans="1:10" ht="15.75" customHeight="1" x14ac:dyDescent="0.3">
      <c r="A199" s="22" t="s">
        <v>290</v>
      </c>
      <c r="B199" s="22" t="s">
        <v>15</v>
      </c>
      <c r="C199" s="22" t="s">
        <v>21</v>
      </c>
      <c r="D199" s="22" t="s">
        <v>16</v>
      </c>
      <c r="E199" s="22">
        <v>13878.52</v>
      </c>
      <c r="F199" s="24">
        <v>9</v>
      </c>
      <c r="G199" s="22">
        <v>0.2</v>
      </c>
      <c r="H199" s="23">
        <v>45589</v>
      </c>
      <c r="I199" s="22">
        <v>21796.67</v>
      </c>
      <c r="J199" s="22" t="str">
        <f>TEXT(Table1[[#This Row],[Order_Date]],"MMM")</f>
        <v>Oct</v>
      </c>
    </row>
    <row r="200" spans="1:10" ht="15.75" customHeight="1" x14ac:dyDescent="0.3">
      <c r="A200" s="22" t="s">
        <v>291</v>
      </c>
      <c r="B200" s="22" t="s">
        <v>11</v>
      </c>
      <c r="C200" s="22" t="s">
        <v>21</v>
      </c>
      <c r="D200" s="22" t="s">
        <v>13</v>
      </c>
      <c r="E200" s="22">
        <v>13943.71</v>
      </c>
      <c r="F200" s="24">
        <v>10</v>
      </c>
      <c r="G200" s="22">
        <v>0.2</v>
      </c>
      <c r="H200" s="23">
        <v>45590</v>
      </c>
      <c r="I200" s="22">
        <v>21905.63</v>
      </c>
      <c r="J200" s="22" t="str">
        <f>TEXT(Table1[[#This Row],[Order_Date]],"MMM")</f>
        <v>Oct</v>
      </c>
    </row>
    <row r="201" spans="1:10" ht="15.75" customHeight="1" x14ac:dyDescent="0.3">
      <c r="A201" s="22" t="s">
        <v>292</v>
      </c>
      <c r="B201" s="22" t="s">
        <v>15</v>
      </c>
      <c r="C201" s="22" t="s">
        <v>21</v>
      </c>
      <c r="D201" s="22" t="s">
        <v>16</v>
      </c>
      <c r="E201" s="22">
        <v>14008.9</v>
      </c>
      <c r="F201" s="24">
        <v>14</v>
      </c>
      <c r="G201" s="22">
        <v>0.2</v>
      </c>
      <c r="H201" s="23">
        <v>45591</v>
      </c>
      <c r="I201" s="22">
        <v>22014.59</v>
      </c>
      <c r="J201" s="22" t="str">
        <f>TEXT(Table1[[#This Row],[Order_Date]],"MMM")</f>
        <v>Oct</v>
      </c>
    </row>
    <row r="202" spans="1:10" ht="15.75" customHeight="1" x14ac:dyDescent="0.3">
      <c r="A202" s="34"/>
      <c r="B202" s="34"/>
      <c r="C202" s="34"/>
      <c r="D202" s="34"/>
      <c r="E202" s="34"/>
      <c r="F202" s="34"/>
      <c r="G202" s="34"/>
      <c r="H202" s="35"/>
      <c r="I202" s="34"/>
      <c r="J202" s="34"/>
    </row>
    <row r="203" spans="1:10" ht="15.75" customHeight="1" x14ac:dyDescent="0.3"/>
    <row r="204" spans="1:10" ht="15.75" customHeight="1" x14ac:dyDescent="0.3"/>
    <row r="205" spans="1:10" ht="15.75" customHeight="1" x14ac:dyDescent="0.3"/>
    <row r="206" spans="1:10" ht="15.75" customHeight="1" x14ac:dyDescent="0.3"/>
    <row r="207" spans="1:10" ht="15.75" customHeight="1" x14ac:dyDescent="0.3"/>
    <row r="208" spans="1:1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3%" locked="1" count="1" user="Asus" comment="Created by Asus on 17-02-2026">
      <inputCells r="R33" val="0.05" numFmtId="9"/>
    </scenario>
  </scenarios>
  <mergeCells count="3">
    <mergeCell ref="M28:O28"/>
    <mergeCell ref="L22:N22"/>
    <mergeCell ref="Q28:S28"/>
  </mergeCells>
  <phoneticPr fontId="7" type="noConversion"/>
  <conditionalFormatting sqref="A2:J201">
    <cfRule type="expression" dxfId="0" priority="1">
      <formula>$F2&gt;18</formula>
    </cfRule>
  </conditionalFormatting>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BE5F-C383-4CCC-AA1C-8370E28FEFF9}">
  <dimension ref="B5:R52"/>
  <sheetViews>
    <sheetView topLeftCell="B1" workbookViewId="0">
      <selection activeCell="Q23" sqref="Q23"/>
    </sheetView>
  </sheetViews>
  <sheetFormatPr defaultRowHeight="14.4" x14ac:dyDescent="0.3"/>
  <cols>
    <col min="2" max="2" width="12.5546875" bestFit="1" customWidth="1"/>
    <col min="3" max="3" width="11.6640625" bestFit="1" customWidth="1"/>
    <col min="4" max="4" width="12.5546875" bestFit="1" customWidth="1"/>
    <col min="5" max="5" width="11.6640625" bestFit="1" customWidth="1"/>
    <col min="9" max="9" width="13.109375" bestFit="1" customWidth="1"/>
    <col min="10" max="10" width="11.6640625" bestFit="1" customWidth="1"/>
    <col min="16" max="16" width="12.5546875" bestFit="1" customWidth="1"/>
    <col min="17" max="17" width="12.109375" bestFit="1" customWidth="1"/>
    <col min="18" max="18" width="11.6640625" bestFit="1" customWidth="1"/>
  </cols>
  <sheetData>
    <row r="5" spans="4:18" x14ac:dyDescent="0.3">
      <c r="D5" s="19" t="s">
        <v>80</v>
      </c>
      <c r="E5" t="s">
        <v>82</v>
      </c>
    </row>
    <row r="6" spans="4:18" x14ac:dyDescent="0.3">
      <c r="D6" s="20" t="s">
        <v>303</v>
      </c>
      <c r="E6">
        <v>43468.33</v>
      </c>
    </row>
    <row r="7" spans="4:18" x14ac:dyDescent="0.3">
      <c r="D7" s="20" t="s">
        <v>302</v>
      </c>
      <c r="E7">
        <v>32441.64</v>
      </c>
    </row>
    <row r="8" spans="4:18" x14ac:dyDescent="0.3">
      <c r="D8" s="20" t="s">
        <v>21</v>
      </c>
      <c r="E8">
        <v>34975.42</v>
      </c>
    </row>
    <row r="9" spans="4:18" x14ac:dyDescent="0.3">
      <c r="D9" s="20" t="s">
        <v>18</v>
      </c>
      <c r="E9">
        <v>40248.79</v>
      </c>
    </row>
    <row r="10" spans="4:18" x14ac:dyDescent="0.3">
      <c r="D10" s="20" t="s">
        <v>12</v>
      </c>
      <c r="E10">
        <v>44083.58</v>
      </c>
      <c r="P10" s="19" t="s">
        <v>80</v>
      </c>
      <c r="Q10" t="s">
        <v>100</v>
      </c>
      <c r="R10" t="s">
        <v>82</v>
      </c>
    </row>
    <row r="11" spans="4:18" x14ac:dyDescent="0.3">
      <c r="D11" s="20" t="s">
        <v>81</v>
      </c>
      <c r="E11">
        <v>195217.76</v>
      </c>
      <c r="P11" s="20" t="s">
        <v>83</v>
      </c>
      <c r="Q11">
        <v>5763.4</v>
      </c>
      <c r="R11">
        <v>14914.650000000001</v>
      </c>
    </row>
    <row r="12" spans="4:18" x14ac:dyDescent="0.3">
      <c r="P12" s="20" t="s">
        <v>84</v>
      </c>
      <c r="Q12">
        <v>5039.2299999999996</v>
      </c>
      <c r="R12">
        <v>14006.359999999999</v>
      </c>
    </row>
    <row r="13" spans="4:18" x14ac:dyDescent="0.3">
      <c r="D13" s="19" t="s">
        <v>80</v>
      </c>
      <c r="E13" t="s">
        <v>82</v>
      </c>
      <c r="P13" s="20" t="s">
        <v>85</v>
      </c>
      <c r="Q13">
        <v>7071.39</v>
      </c>
      <c r="R13">
        <v>17655.219999999998</v>
      </c>
    </row>
    <row r="14" spans="4:18" x14ac:dyDescent="0.3">
      <c r="D14" s="20" t="s">
        <v>83</v>
      </c>
      <c r="E14">
        <v>14914.650000000001</v>
      </c>
      <c r="P14" s="20" t="s">
        <v>86</v>
      </c>
      <c r="Q14">
        <v>7642.86</v>
      </c>
      <c r="R14">
        <v>22242.129999999997</v>
      </c>
    </row>
    <row r="15" spans="4:18" x14ac:dyDescent="0.3">
      <c r="D15" s="20" t="s">
        <v>84</v>
      </c>
      <c r="E15">
        <v>14006.359999999999</v>
      </c>
      <c r="P15" s="20" t="s">
        <v>87</v>
      </c>
      <c r="Q15">
        <v>6121.3499999999995</v>
      </c>
      <c r="R15">
        <v>18507.339999999997</v>
      </c>
    </row>
    <row r="16" spans="4:18" x14ac:dyDescent="0.3">
      <c r="D16" s="20" t="s">
        <v>85</v>
      </c>
      <c r="E16">
        <v>17655.219999999998</v>
      </c>
      <c r="P16" s="20" t="s">
        <v>88</v>
      </c>
      <c r="Q16">
        <v>6918</v>
      </c>
      <c r="R16">
        <v>20187.509999999998</v>
      </c>
    </row>
    <row r="17" spans="4:18" x14ac:dyDescent="0.3">
      <c r="D17" s="20" t="s">
        <v>86</v>
      </c>
      <c r="E17">
        <v>22242.129999999997</v>
      </c>
      <c r="P17" s="20" t="s">
        <v>89</v>
      </c>
      <c r="Q17">
        <v>3743.85</v>
      </c>
      <c r="R17">
        <v>11609.039999999999</v>
      </c>
    </row>
    <row r="18" spans="4:18" x14ac:dyDescent="0.3">
      <c r="D18" s="20" t="s">
        <v>87</v>
      </c>
      <c r="E18">
        <v>18507.339999999997</v>
      </c>
      <c r="P18" s="20" t="s">
        <v>90</v>
      </c>
      <c r="Q18">
        <v>3302.84</v>
      </c>
      <c r="R18">
        <v>10091.699999999999</v>
      </c>
    </row>
    <row r="19" spans="4:18" x14ac:dyDescent="0.3">
      <c r="D19" s="20" t="s">
        <v>88</v>
      </c>
      <c r="E19">
        <v>20187.509999999998</v>
      </c>
      <c r="I19" s="19" t="s">
        <v>80</v>
      </c>
      <c r="J19" t="s">
        <v>82</v>
      </c>
      <c r="P19" s="20" t="s">
        <v>91</v>
      </c>
      <c r="Q19">
        <v>7457.5199999999995</v>
      </c>
      <c r="R19">
        <v>20533.499999999996</v>
      </c>
    </row>
    <row r="20" spans="4:18" x14ac:dyDescent="0.3">
      <c r="D20" s="20" t="s">
        <v>89</v>
      </c>
      <c r="E20">
        <v>11609.039999999999</v>
      </c>
      <c r="I20" s="20" t="s">
        <v>13</v>
      </c>
      <c r="J20">
        <v>47002.460000000006</v>
      </c>
      <c r="P20" s="20" t="s">
        <v>92</v>
      </c>
      <c r="Q20">
        <v>4861.7</v>
      </c>
      <c r="R20">
        <v>14215.240000000002</v>
      </c>
    </row>
    <row r="21" spans="4:18" x14ac:dyDescent="0.3">
      <c r="D21" s="20" t="s">
        <v>90</v>
      </c>
      <c r="E21">
        <v>10091.699999999999</v>
      </c>
      <c r="I21" s="20" t="s">
        <v>16</v>
      </c>
      <c r="J21">
        <v>41927.589999999989</v>
      </c>
      <c r="P21" s="20" t="s">
        <v>93</v>
      </c>
      <c r="Q21">
        <v>6814.8799999999992</v>
      </c>
      <c r="R21">
        <v>20135.030000000002</v>
      </c>
    </row>
    <row r="22" spans="4:18" x14ac:dyDescent="0.3">
      <c r="D22" s="20" t="s">
        <v>91</v>
      </c>
      <c r="E22">
        <v>20533.499999999996</v>
      </c>
      <c r="I22" s="20" t="s">
        <v>19</v>
      </c>
      <c r="J22">
        <v>41044.000000000007</v>
      </c>
      <c r="P22" s="20" t="s">
        <v>94</v>
      </c>
      <c r="Q22">
        <v>3549.99</v>
      </c>
      <c r="R22">
        <v>11120.04</v>
      </c>
    </row>
    <row r="23" spans="4:18" x14ac:dyDescent="0.3">
      <c r="D23" s="20" t="s">
        <v>92</v>
      </c>
      <c r="E23">
        <v>14215.240000000002</v>
      </c>
      <c r="I23" s="20" t="s">
        <v>22</v>
      </c>
      <c r="J23">
        <v>36612.89</v>
      </c>
      <c r="P23" s="20" t="s">
        <v>81</v>
      </c>
      <c r="Q23">
        <v>68287.009999999995</v>
      </c>
      <c r="R23">
        <v>195217.75999999995</v>
      </c>
    </row>
    <row r="24" spans="4:18" x14ac:dyDescent="0.3">
      <c r="D24" s="20" t="s">
        <v>93</v>
      </c>
      <c r="E24">
        <v>20135.030000000002</v>
      </c>
      <c r="I24" s="20" t="s">
        <v>24</v>
      </c>
      <c r="J24">
        <v>28630.819999999992</v>
      </c>
    </row>
    <row r="25" spans="4:18" x14ac:dyDescent="0.3">
      <c r="D25" s="20" t="s">
        <v>94</v>
      </c>
      <c r="E25">
        <v>11120.04</v>
      </c>
      <c r="I25" s="20" t="s">
        <v>81</v>
      </c>
      <c r="J25">
        <v>195217.76</v>
      </c>
    </row>
    <row r="26" spans="4:18" x14ac:dyDescent="0.3">
      <c r="D26" s="20" t="s">
        <v>81</v>
      </c>
      <c r="E26">
        <v>195217.75999999995</v>
      </c>
    </row>
    <row r="35" spans="2:4" x14ac:dyDescent="0.3">
      <c r="B35" s="10"/>
      <c r="C35" s="11"/>
      <c r="D35" s="12"/>
    </row>
    <row r="36" spans="2:4" x14ac:dyDescent="0.3">
      <c r="B36" s="13"/>
      <c r="C36" s="14"/>
      <c r="D36" s="15"/>
    </row>
    <row r="37" spans="2:4" x14ac:dyDescent="0.3">
      <c r="B37" s="13"/>
      <c r="C37" s="14"/>
      <c r="D37" s="15"/>
    </row>
    <row r="38" spans="2:4" x14ac:dyDescent="0.3">
      <c r="B38" s="13"/>
      <c r="C38" s="14"/>
      <c r="D38" s="15"/>
    </row>
    <row r="39" spans="2:4" x14ac:dyDescent="0.3">
      <c r="B39" s="13"/>
      <c r="C39" s="14"/>
      <c r="D39" s="15"/>
    </row>
    <row r="40" spans="2:4" x14ac:dyDescent="0.3">
      <c r="B40" s="13"/>
      <c r="C40" s="14"/>
      <c r="D40" s="15"/>
    </row>
    <row r="41" spans="2:4" x14ac:dyDescent="0.3">
      <c r="B41" s="13"/>
      <c r="C41" s="14"/>
      <c r="D41" s="15"/>
    </row>
    <row r="42" spans="2:4" x14ac:dyDescent="0.3">
      <c r="B42" s="13"/>
      <c r="C42" s="14"/>
      <c r="D42" s="15"/>
    </row>
    <row r="43" spans="2:4" x14ac:dyDescent="0.3">
      <c r="B43" s="13"/>
      <c r="C43" s="14"/>
      <c r="D43" s="15"/>
    </row>
    <row r="44" spans="2:4" x14ac:dyDescent="0.3">
      <c r="B44" s="13"/>
      <c r="C44" s="14"/>
      <c r="D44" s="15"/>
    </row>
    <row r="45" spans="2:4" x14ac:dyDescent="0.3">
      <c r="B45" s="13"/>
      <c r="C45" s="14"/>
      <c r="D45" s="15"/>
    </row>
    <row r="46" spans="2:4" x14ac:dyDescent="0.3">
      <c r="B46" s="13"/>
      <c r="C46" s="14"/>
      <c r="D46" s="15"/>
    </row>
    <row r="47" spans="2:4" x14ac:dyDescent="0.3">
      <c r="B47" s="13"/>
      <c r="C47" s="14"/>
      <c r="D47" s="15"/>
    </row>
    <row r="48" spans="2:4" x14ac:dyDescent="0.3">
      <c r="B48" s="13"/>
      <c r="C48" s="14"/>
      <c r="D48" s="15"/>
    </row>
    <row r="49" spans="2:4" x14ac:dyDescent="0.3">
      <c r="B49" s="13"/>
      <c r="C49" s="14"/>
      <c r="D49" s="15"/>
    </row>
    <row r="50" spans="2:4" x14ac:dyDescent="0.3">
      <c r="B50" s="13"/>
      <c r="C50" s="14"/>
      <c r="D50" s="15"/>
    </row>
    <row r="51" spans="2:4" x14ac:dyDescent="0.3">
      <c r="B51" s="13"/>
      <c r="C51" s="14"/>
      <c r="D51" s="15"/>
    </row>
    <row r="52" spans="2:4" x14ac:dyDescent="0.3">
      <c r="B52" s="16"/>
      <c r="C52" s="17"/>
      <c r="D52"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5E872-245F-490B-8D07-600D9E35A0AF}">
  <dimension ref="A1"/>
  <sheetViews>
    <sheetView showGridLines="0" zoomScale="98" zoomScaleNormal="98" workbookViewId="0">
      <selection activeCell="K35" sqref="K3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Dataset</vt:lpstr>
      <vt:lpstr>PIVOT TABLE</vt:lpstr>
      <vt:lpstr>DESHBORD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kishan</dc:creator>
  <cp:lastModifiedBy>kishan parmar</cp:lastModifiedBy>
  <cp:lastPrinted>2026-02-16T04:39:06Z</cp:lastPrinted>
  <dcterms:created xsi:type="dcterms:W3CDTF">2026-02-12T10:36:33Z</dcterms:created>
  <dcterms:modified xsi:type="dcterms:W3CDTF">2026-02-21T04:31:36Z</dcterms:modified>
</cp:coreProperties>
</file>